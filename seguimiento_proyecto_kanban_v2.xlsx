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Backlog" sheetId="3" state="visible" r:id="rId3"/>
    <sheet xmlns:r="http://schemas.openxmlformats.org/officeDocument/2006/relationships" name="Seguimiento" sheetId="4" state="visible" r:id="rId4"/>
    <sheet xmlns:r="http://schemas.openxmlformats.org/officeDocument/2006/relationships" name="Completadas" sheetId="5" state="visible" r:id="rId5"/>
    <sheet xmlns:r="http://schemas.openxmlformats.org/officeDocument/2006/relationships" name="Creador_Tareas" sheetId="6" state="visible" r:id="rId6"/>
    <sheet xmlns:r="http://schemas.openxmlformats.org/officeDocument/2006/relationships" name="Procesos" sheetId="7" state="visible" r:id="rId7"/>
    <sheet xmlns:r="http://schemas.openxmlformats.org/officeDocument/2006/relationships" name="Plan_Pruebas" sheetId="8" state="visible" r:id="rId8"/>
    <sheet xmlns:r="http://schemas.openxmlformats.org/officeDocument/2006/relationships" name="Prompt_Agen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FFFFFF"/>
      <sz val="13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9D9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DE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OpenAI</author>
  </authors>
  <commentList>
    <comment ref="M1" authorId="0" shapeId="0">
      <text>
        <t>Check manual. La macro propuesta usa esta columna para añadir/quitar elementos en Seguimiento y aplicar estilo gris.</t>
      </text>
    </comment>
    <comment ref="N1" authorId="0" shapeId="0">
      <text>
        <t>Definición_OK debe ser Sí para permitir alta en Seguimiento mediante macro.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D12" authorId="0" shapeId="0">
      <text>
        <t>La macro CrearTareasDesdeCSV leerá desde D12 hacia abajo hasta fila vacía.</t>
      </text>
    </comment>
  </commentList>
</comments>
</file>

<file path=xl/tables/table1.xml><?xml version="1.0" encoding="utf-8"?>
<table xmlns="http://schemas.openxmlformats.org/spreadsheetml/2006/main" id="1" name="tblBacklog" displayName="tblBacklog" ref="A1:X50" headerRowCount="1">
  <autoFilter ref="A1:X50"/>
  <tableColumns count="24">
    <tableColumn id="1" name="ID"/>
    <tableColumn id="2" name="Parent_ID"/>
    <tableColumn id="3" name="Nivel"/>
    <tableColumn id="4" name="Orden"/>
    <tableColumn id="5" name="Epic"/>
    <tableColumn id="6" name="Topic"/>
    <tableColumn id="7" name="Tarea"/>
    <tableColumn id="8" name="Subtarea"/>
    <tableColumn id="9" name="Resumen"/>
    <tableColumn id="10" name="Responsable"/>
    <tableColumn id="11" name="Prioridad"/>
    <tableColumn id="12" name="Estado"/>
    <tableColumn id="13" name="Seguimiento"/>
    <tableColumn id="14" name="Definición_OK"/>
    <tableColumn id="15" name="Release_Target"/>
    <tableColumn id="16" name="Pre_Version"/>
    <tableColumn id="17" name="Pro_Version"/>
    <tableColumn id="18" name="Fecha_Alta"/>
    <tableColumn id="19" name="Fecha_Objetivo"/>
    <tableColumn id="20" name="Fecha_Inicio"/>
    <tableColumn id="21" name="Fecha_Fin"/>
    <tableColumn id="22" name="Bloqueada"/>
    <tableColumn id="23" name="Dependencias"/>
    <tableColumn id="24" name="Observacion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Seguimiento" displayName="tblSeguimiento" ref="A5:X15" headerRowCount="1">
  <autoFilter ref="A5:X15"/>
  <tableColumns count="24">
    <tableColumn id="1" name="ID"/>
    <tableColumn id="2" name="Parent_ID"/>
    <tableColumn id="3" name="Nivel"/>
    <tableColumn id="4" name="Orden"/>
    <tableColumn id="5" name="Epic"/>
    <tableColumn id="6" name="Topic"/>
    <tableColumn id="7" name="Tarea"/>
    <tableColumn id="8" name="Subtarea"/>
    <tableColumn id="9" name="Resumen"/>
    <tableColumn id="10" name="Responsable"/>
    <tableColumn id="11" name="Prioridad"/>
    <tableColumn id="12" name="Estado"/>
    <tableColumn id="13" name="Seguimiento"/>
    <tableColumn id="14" name="Definición_OK"/>
    <tableColumn id="15" name="Release_Target"/>
    <tableColumn id="16" name="Pre_Version"/>
    <tableColumn id="17" name="Pro_Version"/>
    <tableColumn id="18" name="Fecha_Alta"/>
    <tableColumn id="19" name="Fecha_Objetivo"/>
    <tableColumn id="20" name="Fecha_Inicio"/>
    <tableColumn id="21" name="Fecha_Fin"/>
    <tableColumn id="22" name="Bloqueada"/>
    <tableColumn id="23" name="Dependencias"/>
    <tableColumn id="24" name="Observaciones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Completadas" displayName="tblCompletadas" ref="A5:X11" headerRowCount="1">
  <autoFilter ref="A5:X11"/>
  <tableColumns count="24">
    <tableColumn id="1" name="ID"/>
    <tableColumn id="2" name="Parent_ID"/>
    <tableColumn id="3" name="Nivel"/>
    <tableColumn id="4" name="Orden"/>
    <tableColumn id="5" name="Epic"/>
    <tableColumn id="6" name="Topic"/>
    <tableColumn id="7" name="Tarea"/>
    <tableColumn id="8" name="Subtarea"/>
    <tableColumn id="9" name="Resumen"/>
    <tableColumn id="10" name="Responsable"/>
    <tableColumn id="11" name="Prioridad"/>
    <tableColumn id="12" name="Estado"/>
    <tableColumn id="13" name="Seguimiento"/>
    <tableColumn id="14" name="Definición_OK"/>
    <tableColumn id="15" name="Release_Target"/>
    <tableColumn id="16" name="Pre_Version"/>
    <tableColumn id="17" name="Pro_Version"/>
    <tableColumn id="18" name="Fecha_Alta"/>
    <tableColumn id="19" name="Fecha_Objetivo"/>
    <tableColumn id="20" name="Fecha_Inicio"/>
    <tableColumn id="21" name="Fecha_Fin"/>
    <tableColumn id="22" name="Bloqueada"/>
    <tableColumn id="23" name="Dependencias"/>
    <tableColumn id="24" name="Observaciones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tblPruebas" displayName="tblPruebas" ref="A3:G15" headerRowCount="1">
  <autoFilter ref="A3:G15"/>
  <tableColumns count="7">
    <tableColumn id="1" name="ID"/>
    <tableColumn id="2" name="Área"/>
    <tableColumn id="3" name="Caso"/>
    <tableColumn id="4" name="Precondición"/>
    <tableColumn id="5" name="Pasos"/>
    <tableColumn id="6" name="Resultado esperado"/>
    <tableColumn id="7" name="Estado"/>
  </tableColumns>
  <tableStyleInfo name="TableStyleMedium3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4" max="4"/>
    <col width="70" customWidth="1" min="5" max="5"/>
  </cols>
  <sheetData>
    <row r="1">
      <c r="A1" s="1" t="inlineStr">
        <is>
          <t>Seguimiento de Proyecto — Panel v2</t>
        </is>
      </c>
    </row>
    <row r="2"/>
    <row r="3">
      <c r="A3" t="inlineStr">
        <is>
          <t>Objetivo</t>
        </is>
      </c>
      <c r="B3" t="inlineStr">
        <is>
          <t>Workbook base para gestión Kanban con backlog jerárquico, seguimiento, completadas, creador de tareas y soporte para automatización con VBA.</t>
        </is>
      </c>
    </row>
    <row r="4"/>
    <row r="5">
      <c r="A5" s="2" t="inlineStr">
        <is>
          <t>Indicadores</t>
        </is>
      </c>
      <c r="D5" s="2" t="inlineStr">
        <is>
          <t>Hojas</t>
        </is>
      </c>
    </row>
    <row r="6">
      <c r="A6" t="inlineStr">
        <is>
          <t>Total backlog</t>
        </is>
      </c>
      <c r="B6">
        <f>COUNTA(Backlog!A:A)-1</f>
        <v/>
      </c>
      <c r="D6" t="inlineStr">
        <is>
          <t>Backlog</t>
        </is>
      </c>
      <c r="E6" t="inlineStr">
        <is>
          <t>Fuente maestra: épicas, topics, tareas y subtareas.</t>
        </is>
      </c>
    </row>
    <row r="7">
      <c r="A7" t="inlineStr">
        <is>
          <t>En seguimiento</t>
        </is>
      </c>
      <c r="B7">
        <f>COUNTIF(Backlog!M:M,"Sí")</f>
        <v/>
      </c>
      <c r="D7" t="inlineStr">
        <is>
          <t>Seguimiento</t>
        </is>
      </c>
      <c r="E7" t="inlineStr">
        <is>
          <t>Vista operativa. Diseñada para regenerarse vía macro.</t>
        </is>
      </c>
    </row>
    <row r="8">
      <c r="A8" t="inlineStr">
        <is>
          <t>En curso</t>
        </is>
      </c>
      <c r="B8">
        <f>COUNTIF(Backlog!L:L,"En curso")</f>
        <v/>
      </c>
      <c r="D8" t="inlineStr">
        <is>
          <t>Completadas</t>
        </is>
      </c>
      <c r="E8" t="inlineStr">
        <is>
          <t>Histórico operativo. Diseñada para regenerarse vía macro.</t>
        </is>
      </c>
    </row>
    <row r="9">
      <c r="A9" t="inlineStr">
        <is>
          <t>En certificación</t>
        </is>
      </c>
      <c r="B9">
        <f>COUNTIF(Backlog!L:L,"En certificación")</f>
        <v/>
      </c>
      <c r="D9" t="inlineStr">
        <is>
          <t>Creador_Tareas</t>
        </is>
      </c>
      <c r="E9" t="inlineStr">
        <is>
          <t>Alta individual o masiva por CSV.</t>
        </is>
      </c>
    </row>
    <row r="10">
      <c r="A10" t="inlineStr">
        <is>
          <t>Lista para release</t>
        </is>
      </c>
      <c r="B10">
        <f>COUNTIF(Backlog!L:L,"Lista para release")</f>
        <v/>
      </c>
      <c r="D10" t="inlineStr">
        <is>
          <t>Procesos</t>
        </is>
      </c>
      <c r="E10" t="inlineStr">
        <is>
          <t>Checklist funcional y procesos esperados.</t>
        </is>
      </c>
    </row>
    <row r="11">
      <c r="A11" t="inlineStr">
        <is>
          <t>Completadas</t>
        </is>
      </c>
      <c r="B11">
        <f>COUNTIF(Backlog!L:L,"Completada")</f>
        <v/>
      </c>
      <c r="D11" t="inlineStr">
        <is>
          <t>Plan_Pruebas</t>
        </is>
      </c>
      <c r="E11" t="inlineStr">
        <is>
          <t>Casos de prueba para validar la iteración.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Responsables</t>
        </is>
      </c>
      <c r="B1" s="2" t="inlineStr">
        <is>
          <t>Epicas</t>
        </is>
      </c>
      <c r="C1" s="2" t="inlineStr">
        <is>
          <t>Estados</t>
        </is>
      </c>
      <c r="D1" s="2" t="inlineStr">
        <is>
          <t>Prioridades</t>
        </is>
      </c>
      <c r="E1" s="2" t="inlineStr">
        <is>
          <t>Niveles</t>
        </is>
      </c>
      <c r="F1" s="2" t="inlineStr">
        <is>
          <t>SiNo</t>
        </is>
      </c>
      <c r="G1" s="2" t="inlineStr">
        <is>
          <t>Entornos</t>
        </is>
      </c>
    </row>
    <row r="2">
      <c r="A2" t="inlineStr">
        <is>
          <t>Juan Luis</t>
        </is>
      </c>
      <c r="B2" t="inlineStr">
        <is>
          <t>LM Core</t>
        </is>
      </c>
      <c r="C2" t="inlineStr">
        <is>
          <t>Backlog</t>
        </is>
      </c>
      <c r="D2" t="inlineStr">
        <is>
          <t>Alta</t>
        </is>
      </c>
      <c r="E2" t="inlineStr">
        <is>
          <t>Epic</t>
        </is>
      </c>
      <c r="F2" t="inlineStr">
        <is>
          <t>Sí</t>
        </is>
      </c>
      <c r="G2" t="inlineStr">
        <is>
          <t>DEV</t>
        </is>
      </c>
    </row>
    <row r="3">
      <c r="A3" s="3" t="inlineStr">
        <is>
          <t>Guillermo</t>
        </is>
      </c>
      <c r="B3" t="inlineStr">
        <is>
          <t>Taxonomía</t>
        </is>
      </c>
      <c r="C3" t="inlineStr">
        <is>
          <t>Definida</t>
        </is>
      </c>
      <c r="D3" t="inlineStr">
        <is>
          <t>Media</t>
        </is>
      </c>
      <c r="E3" t="inlineStr">
        <is>
          <t>Topic</t>
        </is>
      </c>
      <c r="F3" t="inlineStr">
        <is>
          <t>No</t>
        </is>
      </c>
      <c r="G3" t="inlineStr">
        <is>
          <t>PRE</t>
        </is>
      </c>
    </row>
    <row r="4">
      <c r="A4" t="inlineStr">
        <is>
          <t>Diego</t>
        </is>
      </c>
      <c r="B4" t="inlineStr">
        <is>
          <t>Fix</t>
        </is>
      </c>
      <c r="C4" t="inlineStr">
        <is>
          <t>En seguimiento</t>
        </is>
      </c>
      <c r="D4" t="inlineStr">
        <is>
          <t>Baja</t>
        </is>
      </c>
      <c r="E4" t="inlineStr">
        <is>
          <t>Tarea</t>
        </is>
      </c>
      <c r="G4" t="inlineStr">
        <is>
          <t>PRO</t>
        </is>
      </c>
    </row>
    <row r="5">
      <c r="A5" t="inlineStr">
        <is>
          <t>Luis</t>
        </is>
      </c>
      <c r="B5" t="inlineStr">
        <is>
          <t>Release/Despliegues</t>
        </is>
      </c>
      <c r="C5" t="inlineStr">
        <is>
          <t>En curso</t>
        </is>
      </c>
      <c r="E5" t="inlineStr">
        <is>
          <t>Subtarea</t>
        </is>
      </c>
    </row>
    <row r="6">
      <c r="A6" t="inlineStr">
        <is>
          <t>Alejandro</t>
        </is>
      </c>
      <c r="B6" t="inlineStr">
        <is>
          <t>Scripts de datos</t>
        </is>
      </c>
      <c r="C6" t="inlineStr">
        <is>
          <t>Bloqueada</t>
        </is>
      </c>
    </row>
    <row r="7">
      <c r="B7" t="inlineStr">
        <is>
          <t>Base de datos</t>
        </is>
      </c>
      <c r="C7" t="inlineStr">
        <is>
          <t>En certificación</t>
        </is>
      </c>
    </row>
    <row r="8">
      <c r="B8" t="inlineStr">
        <is>
          <t>Traducciones</t>
        </is>
      </c>
      <c r="C8" t="inlineStr">
        <is>
          <t>Lista para release</t>
        </is>
      </c>
    </row>
    <row r="9">
      <c r="C9" t="inlineStr">
        <is>
          <t>En pre</t>
        </is>
      </c>
    </row>
    <row r="10">
      <c r="C10" t="inlineStr">
        <is>
          <t>En pro</t>
        </is>
      </c>
    </row>
    <row r="11">
      <c r="C11" t="inlineStr">
        <is>
          <t>Completada</t>
        </is>
      </c>
    </row>
    <row r="12">
      <c r="C12" t="inlineStr">
        <is>
          <t>Descartada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8" customWidth="1" min="4" max="4"/>
    <col width="18" customWidth="1" min="5" max="5"/>
    <col width="20" customWidth="1" min="6" max="6"/>
    <col width="28" customWidth="1" min="7" max="7"/>
    <col width="30" customWidth="1" min="8" max="8"/>
    <col width="45" customWidth="1" min="9" max="9"/>
    <col width="14" customWidth="1" min="10" max="10"/>
    <col width="10" customWidth="1" min="11" max="11"/>
    <col width="18" customWidth="1" min="12" max="12"/>
    <col width="12" customWidth="1" min="13" max="13"/>
    <col width="14" customWidth="1" min="14" max="14"/>
    <col width="18" customWidth="1" min="15" max="15"/>
    <col width="14" customWidth="1" min="16" max="16"/>
    <col width="14" customWidth="1" min="17" max="17"/>
    <col width="12" customWidth="1" min="18" max="18"/>
    <col width="14" customWidth="1" min="19" max="19"/>
    <col width="12" customWidth="1" min="20" max="20"/>
    <col width="12" customWidth="1" min="21" max="21"/>
    <col width="12" customWidth="1" min="22" max="22"/>
    <col width="20" customWidth="1" min="23" max="23"/>
    <col width="36" customWidth="1" min="24" max="24"/>
  </cols>
  <sheetData>
    <row r="1">
      <c r="A1" s="4" t="inlineStr">
        <is>
          <t>ID</t>
        </is>
      </c>
      <c r="B1" s="4" t="inlineStr">
        <is>
          <t>Parent_ID</t>
        </is>
      </c>
      <c r="C1" s="4" t="inlineStr">
        <is>
          <t>Nivel</t>
        </is>
      </c>
      <c r="D1" s="4" t="inlineStr">
        <is>
          <t>Orden</t>
        </is>
      </c>
      <c r="E1" s="4" t="inlineStr">
        <is>
          <t>Epic</t>
        </is>
      </c>
      <c r="F1" s="4" t="inlineStr">
        <is>
          <t>Topic</t>
        </is>
      </c>
      <c r="G1" s="4" t="inlineStr">
        <is>
          <t>Tarea</t>
        </is>
      </c>
      <c r="H1" s="4" t="inlineStr">
        <is>
          <t>Subtarea</t>
        </is>
      </c>
      <c r="I1" s="4" t="inlineStr">
        <is>
          <t>Resumen</t>
        </is>
      </c>
      <c r="J1" s="4" t="inlineStr">
        <is>
          <t>Responsable</t>
        </is>
      </c>
      <c r="K1" s="4" t="inlineStr">
        <is>
          <t>Prioridad</t>
        </is>
      </c>
      <c r="L1" s="4" t="inlineStr">
        <is>
          <t>Estado</t>
        </is>
      </c>
      <c r="M1" s="4" t="inlineStr">
        <is>
          <t>Seguimiento</t>
        </is>
      </c>
      <c r="N1" s="4" t="inlineStr">
        <is>
          <t>Definición_OK</t>
        </is>
      </c>
      <c r="O1" s="4" t="inlineStr">
        <is>
          <t>Release_Target</t>
        </is>
      </c>
      <c r="P1" s="4" t="inlineStr">
        <is>
          <t>Pre_Version</t>
        </is>
      </c>
      <c r="Q1" s="4" t="inlineStr">
        <is>
          <t>Pro_Version</t>
        </is>
      </c>
      <c r="R1" s="4" t="inlineStr">
        <is>
          <t>Fecha_Alta</t>
        </is>
      </c>
      <c r="S1" s="4" t="inlineStr">
        <is>
          <t>Fecha_Objetivo</t>
        </is>
      </c>
      <c r="T1" s="4" t="inlineStr">
        <is>
          <t>Fecha_Inicio</t>
        </is>
      </c>
      <c r="U1" s="4" t="inlineStr">
        <is>
          <t>Fecha_Fin</t>
        </is>
      </c>
      <c r="V1" s="4" t="inlineStr">
        <is>
          <t>Bloqueada</t>
        </is>
      </c>
      <c r="W1" s="4" t="inlineStr">
        <is>
          <t>Dependencias</t>
        </is>
      </c>
      <c r="X1" s="4" t="inlineStr">
        <is>
          <t>Observaciones</t>
        </is>
      </c>
    </row>
    <row r="2">
      <c r="A2" t="inlineStr">
        <is>
          <t>EP-001</t>
        </is>
      </c>
      <c r="B2" t="inlineStr"/>
      <c r="C2" t="inlineStr">
        <is>
          <t>Epic</t>
        </is>
      </c>
      <c r="D2" t="n">
        <v>1</v>
      </c>
      <c r="E2" t="inlineStr">
        <is>
          <t>LM Core</t>
        </is>
      </c>
      <c r="F2" t="inlineStr"/>
      <c r="G2" t="inlineStr"/>
      <c r="H2" t="inlineStr"/>
      <c r="I2" t="inlineStr">
        <is>
          <t>LM Core</t>
        </is>
      </c>
      <c r="J2" t="inlineStr">
        <is>
          <t>Luis</t>
        </is>
      </c>
      <c r="K2" t="inlineStr">
        <is>
          <t>Alta</t>
        </is>
      </c>
      <c r="L2" t="inlineStr">
        <is>
          <t>Backlog</t>
        </is>
      </c>
      <c r="M2" t="inlineStr">
        <is>
          <t>No</t>
        </is>
      </c>
      <c r="N2" t="inlineStr">
        <is>
          <t>Sí</t>
        </is>
      </c>
      <c r="O2" t="inlineStr"/>
      <c r="P2" t="inlineStr"/>
      <c r="Q2" t="inlineStr"/>
      <c r="R2" s="5" t="n">
        <v>46104</v>
      </c>
      <c r="S2" t="inlineStr"/>
      <c r="T2" t="inlineStr"/>
      <c r="U2" t="inlineStr"/>
      <c r="V2" t="inlineStr">
        <is>
          <t>No</t>
        </is>
      </c>
      <c r="W2" t="inlineStr"/>
      <c r="X2" t="inlineStr"/>
    </row>
    <row r="3">
      <c r="A3" t="inlineStr">
        <is>
          <t>EP-002</t>
        </is>
      </c>
      <c r="B3" t="inlineStr"/>
      <c r="C3" t="inlineStr">
        <is>
          <t>Epic</t>
        </is>
      </c>
      <c r="D3" t="n">
        <v>2</v>
      </c>
      <c r="E3" t="inlineStr">
        <is>
          <t>Taxonomía</t>
        </is>
      </c>
      <c r="F3" t="inlineStr"/>
      <c r="G3" t="inlineStr"/>
      <c r="H3" t="inlineStr"/>
      <c r="I3" t="inlineStr">
        <is>
          <t>Taxonomía</t>
        </is>
      </c>
      <c r="J3" t="inlineStr">
        <is>
          <t>Luis</t>
        </is>
      </c>
      <c r="K3" t="inlineStr">
        <is>
          <t>Media</t>
        </is>
      </c>
      <c r="L3" t="inlineStr">
        <is>
          <t>Backlog</t>
        </is>
      </c>
      <c r="M3" t="inlineStr">
        <is>
          <t>No</t>
        </is>
      </c>
      <c r="N3" t="inlineStr">
        <is>
          <t>Sí</t>
        </is>
      </c>
      <c r="O3" t="inlineStr"/>
      <c r="P3" t="inlineStr"/>
      <c r="Q3" t="inlineStr"/>
      <c r="R3" s="5" t="n">
        <v>46104</v>
      </c>
      <c r="S3" t="inlineStr"/>
      <c r="T3" t="inlineStr"/>
      <c r="U3" t="inlineStr"/>
      <c r="V3" t="inlineStr">
        <is>
          <t>No</t>
        </is>
      </c>
      <c r="W3" t="inlineStr"/>
      <c r="X3" t="inlineStr"/>
    </row>
    <row r="4">
      <c r="A4" t="inlineStr">
        <is>
          <t>EP-003</t>
        </is>
      </c>
      <c r="B4" t="inlineStr"/>
      <c r="C4" t="inlineStr">
        <is>
          <t>Epic</t>
        </is>
      </c>
      <c r="D4" t="n">
        <v>3</v>
      </c>
      <c r="E4" t="inlineStr">
        <is>
          <t>Fix</t>
        </is>
      </c>
      <c r="F4" t="inlineStr"/>
      <c r="G4" t="inlineStr"/>
      <c r="H4" t="inlineStr"/>
      <c r="I4" t="inlineStr">
        <is>
          <t>Fixes</t>
        </is>
      </c>
      <c r="J4" t="inlineStr">
        <is>
          <t>Luis</t>
        </is>
      </c>
      <c r="K4" t="inlineStr">
        <is>
          <t>Alta</t>
        </is>
      </c>
      <c r="L4" t="inlineStr">
        <is>
          <t>Backlog</t>
        </is>
      </c>
      <c r="M4" t="inlineStr">
        <is>
          <t>No</t>
        </is>
      </c>
      <c r="N4" t="inlineStr">
        <is>
          <t>Sí</t>
        </is>
      </c>
      <c r="O4" t="inlineStr"/>
      <c r="P4" t="inlineStr"/>
      <c r="Q4" t="inlineStr"/>
      <c r="R4" s="5" t="n">
        <v>46104</v>
      </c>
      <c r="S4" t="inlineStr"/>
      <c r="T4" t="inlineStr"/>
      <c r="U4" t="inlineStr"/>
      <c r="V4" t="inlineStr">
        <is>
          <t>No</t>
        </is>
      </c>
      <c r="W4" t="inlineStr"/>
      <c r="X4" t="inlineStr"/>
    </row>
    <row r="5">
      <c r="A5" t="inlineStr">
        <is>
          <t>EP-004</t>
        </is>
      </c>
      <c r="B5" t="inlineStr"/>
      <c r="C5" t="inlineStr">
        <is>
          <t>Epic</t>
        </is>
      </c>
      <c r="D5" t="n">
        <v>4</v>
      </c>
      <c r="E5" t="inlineStr">
        <is>
          <t>Release/Despliegues</t>
        </is>
      </c>
      <c r="F5" t="inlineStr"/>
      <c r="G5" t="inlineStr"/>
      <c r="H5" t="inlineStr"/>
      <c r="I5" t="inlineStr">
        <is>
          <t>Release y despliegues</t>
        </is>
      </c>
      <c r="J5" t="inlineStr">
        <is>
          <t>Luis</t>
        </is>
      </c>
      <c r="K5" t="inlineStr">
        <is>
          <t>Alta</t>
        </is>
      </c>
      <c r="L5" t="inlineStr">
        <is>
          <t>Backlog</t>
        </is>
      </c>
      <c r="M5" t="inlineStr">
        <is>
          <t>No</t>
        </is>
      </c>
      <c r="N5" t="inlineStr">
        <is>
          <t>Sí</t>
        </is>
      </c>
      <c r="O5" t="inlineStr"/>
      <c r="P5" t="inlineStr"/>
      <c r="Q5" t="inlineStr"/>
      <c r="R5" s="5" t="n">
        <v>46104</v>
      </c>
      <c r="S5" t="inlineStr"/>
      <c r="T5" t="inlineStr"/>
      <c r="U5" t="inlineStr"/>
      <c r="V5" t="inlineStr">
        <is>
          <t>No</t>
        </is>
      </c>
      <c r="W5" t="inlineStr"/>
      <c r="X5" t="inlineStr"/>
    </row>
    <row r="6">
      <c r="A6" t="inlineStr">
        <is>
          <t>EP-005</t>
        </is>
      </c>
      <c r="B6" t="inlineStr"/>
      <c r="C6" t="inlineStr">
        <is>
          <t>Epic</t>
        </is>
      </c>
      <c r="D6" t="n">
        <v>5</v>
      </c>
      <c r="E6" t="inlineStr">
        <is>
          <t>Scripts de datos</t>
        </is>
      </c>
      <c r="F6" t="inlineStr"/>
      <c r="G6" t="inlineStr"/>
      <c r="H6" t="inlineStr"/>
      <c r="I6" t="inlineStr">
        <is>
          <t>Scripts de datos</t>
        </is>
      </c>
      <c r="J6" t="inlineStr">
        <is>
          <t>Luis</t>
        </is>
      </c>
      <c r="K6" t="inlineStr">
        <is>
          <t>Alta</t>
        </is>
      </c>
      <c r="L6" t="inlineStr">
        <is>
          <t>Backlog</t>
        </is>
      </c>
      <c r="M6" t="inlineStr">
        <is>
          <t>No</t>
        </is>
      </c>
      <c r="N6" t="inlineStr">
        <is>
          <t>Sí</t>
        </is>
      </c>
      <c r="O6" t="inlineStr"/>
      <c r="P6" t="inlineStr"/>
      <c r="Q6" t="inlineStr"/>
      <c r="R6" s="5" t="n">
        <v>46104</v>
      </c>
      <c r="S6" t="inlineStr"/>
      <c r="T6" t="inlineStr"/>
      <c r="U6" t="inlineStr"/>
      <c r="V6" t="inlineStr">
        <is>
          <t>No</t>
        </is>
      </c>
      <c r="W6" t="inlineStr"/>
      <c r="X6" t="inlineStr"/>
    </row>
    <row r="7">
      <c r="A7" t="inlineStr">
        <is>
          <t>EP-006</t>
        </is>
      </c>
      <c r="B7" t="inlineStr"/>
      <c r="C7" t="inlineStr">
        <is>
          <t>Epic</t>
        </is>
      </c>
      <c r="D7" t="n">
        <v>6</v>
      </c>
      <c r="E7" t="inlineStr">
        <is>
          <t>Base de datos</t>
        </is>
      </c>
      <c r="F7" t="inlineStr"/>
      <c r="G7" t="inlineStr"/>
      <c r="H7" t="inlineStr"/>
      <c r="I7" t="inlineStr">
        <is>
          <t>Base de datos</t>
        </is>
      </c>
      <c r="J7" t="inlineStr">
        <is>
          <t>Luis</t>
        </is>
      </c>
      <c r="K7" t="inlineStr">
        <is>
          <t>Media</t>
        </is>
      </c>
      <c r="L7" t="inlineStr">
        <is>
          <t>Backlog</t>
        </is>
      </c>
      <c r="M7" t="inlineStr">
        <is>
          <t>No</t>
        </is>
      </c>
      <c r="N7" t="inlineStr">
        <is>
          <t>Sí</t>
        </is>
      </c>
      <c r="O7" t="inlineStr"/>
      <c r="P7" t="inlineStr"/>
      <c r="Q7" t="inlineStr"/>
      <c r="R7" s="5" t="n">
        <v>46104</v>
      </c>
      <c r="S7" t="inlineStr"/>
      <c r="T7" t="inlineStr"/>
      <c r="U7" t="inlineStr"/>
      <c r="V7" t="inlineStr">
        <is>
          <t>No</t>
        </is>
      </c>
      <c r="W7" t="inlineStr"/>
      <c r="X7" t="inlineStr"/>
    </row>
    <row r="8">
      <c r="A8" t="inlineStr">
        <is>
          <t>EP-007</t>
        </is>
      </c>
      <c r="B8" t="inlineStr"/>
      <c r="C8" t="inlineStr">
        <is>
          <t>Epic</t>
        </is>
      </c>
      <c r="D8" t="n">
        <v>7</v>
      </c>
      <c r="E8" t="inlineStr">
        <is>
          <t>Traducciones</t>
        </is>
      </c>
      <c r="F8" t="inlineStr"/>
      <c r="G8" t="inlineStr"/>
      <c r="H8" t="inlineStr"/>
      <c r="I8" t="inlineStr">
        <is>
          <t>Traducciones</t>
        </is>
      </c>
      <c r="J8" t="inlineStr">
        <is>
          <t>Luis</t>
        </is>
      </c>
      <c r="K8" t="inlineStr">
        <is>
          <t>Baja</t>
        </is>
      </c>
      <c r="L8" t="inlineStr">
        <is>
          <t>Backlog</t>
        </is>
      </c>
      <c r="M8" t="inlineStr">
        <is>
          <t>No</t>
        </is>
      </c>
      <c r="N8" t="inlineStr">
        <is>
          <t>Sí</t>
        </is>
      </c>
      <c r="O8" t="inlineStr"/>
      <c r="P8" t="inlineStr"/>
      <c r="Q8" t="inlineStr"/>
      <c r="R8" s="5" t="n">
        <v>46104</v>
      </c>
      <c r="S8" t="inlineStr"/>
      <c r="T8" t="inlineStr"/>
      <c r="U8" t="inlineStr"/>
      <c r="V8" t="inlineStr">
        <is>
          <t>No</t>
        </is>
      </c>
      <c r="W8" t="inlineStr"/>
      <c r="X8" t="inlineStr"/>
    </row>
    <row r="9">
      <c r="A9" t="inlineStr">
        <is>
          <t>TP-001</t>
        </is>
      </c>
      <c r="B9" t="inlineStr">
        <is>
          <t>EP-001</t>
        </is>
      </c>
      <c r="C9" t="inlineStr">
        <is>
          <t>Topic</t>
        </is>
      </c>
      <c r="D9" t="n">
        <v>1</v>
      </c>
      <c r="E9" t="inlineStr">
        <is>
          <t>LM Core</t>
        </is>
      </c>
      <c r="F9" t="inlineStr">
        <is>
          <t>Aplicación internal Sancorep 2</t>
        </is>
      </c>
      <c r="G9" t="inlineStr"/>
      <c r="H9" t="inlineStr"/>
      <c r="I9" t="inlineStr">
        <is>
          <t>Aplicación de internal Sancorep 2</t>
        </is>
      </c>
      <c r="J9" t="inlineStr">
        <is>
          <t>Luis</t>
        </is>
      </c>
      <c r="K9" t="inlineStr">
        <is>
          <t>Alta</t>
        </is>
      </c>
      <c r="L9" t="inlineStr">
        <is>
          <t>En certificación</t>
        </is>
      </c>
      <c r="M9" t="inlineStr">
        <is>
          <t>Sí</t>
        </is>
      </c>
      <c r="N9" t="inlineStr">
        <is>
          <t>Sí</t>
        </is>
      </c>
      <c r="O9" t="inlineStr">
        <is>
          <t>R-2026.03.30</t>
        </is>
      </c>
      <c r="P9" t="inlineStr">
        <is>
          <t>PRE-2026.03.24</t>
        </is>
      </c>
      <c r="Q9" t="inlineStr"/>
      <c r="R9" t="inlineStr">
        <is>
          <t>2026-03-10</t>
        </is>
      </c>
      <c r="S9" t="inlineStr">
        <is>
          <t>2026-03-30</t>
        </is>
      </c>
      <c r="T9" t="inlineStr">
        <is>
          <t>2026-03-10</t>
        </is>
      </c>
      <c r="U9" t="inlineStr"/>
      <c r="V9" t="inlineStr">
        <is>
          <t>No</t>
        </is>
      </c>
      <c r="W9" t="inlineStr"/>
      <c r="X9" t="inlineStr"/>
    </row>
    <row r="10">
      <c r="A10" t="inlineStr">
        <is>
          <t>ST-001</t>
        </is>
      </c>
      <c r="B10" t="inlineStr">
        <is>
          <t>TP-001</t>
        </is>
      </c>
      <c r="C10" t="inlineStr">
        <is>
          <t>Subtarea</t>
        </is>
      </c>
      <c r="D10" t="n">
        <v>1</v>
      </c>
      <c r="E10" t="inlineStr">
        <is>
          <t>LM Core</t>
        </is>
      </c>
      <c r="F10" t="inlineStr">
        <is>
          <t>Aplicación internal Sancorep 2</t>
        </is>
      </c>
      <c r="G10" t="inlineStr"/>
      <c r="H10" t="inlineStr">
        <is>
          <t>Probar exportador PRE</t>
        </is>
      </c>
      <c r="I10" t="inlineStr">
        <is>
          <t>Probar que el exportador funciona correctamente en PRE</t>
        </is>
      </c>
      <c r="J10" t="inlineStr">
        <is>
          <t>Luis</t>
        </is>
      </c>
      <c r="K10" t="inlineStr">
        <is>
          <t>Alta</t>
        </is>
      </c>
      <c r="L10" t="inlineStr">
        <is>
          <t>En certificación</t>
        </is>
      </c>
      <c r="M10" t="inlineStr">
        <is>
          <t>Sí</t>
        </is>
      </c>
      <c r="N10" t="inlineStr">
        <is>
          <t>Sí</t>
        </is>
      </c>
      <c r="O10" t="inlineStr">
        <is>
          <t>R-2026.03.30</t>
        </is>
      </c>
      <c r="P10" t="inlineStr">
        <is>
          <t>PRE-2026.03.24</t>
        </is>
      </c>
      <c r="Q10" t="inlineStr"/>
      <c r="R10" t="inlineStr">
        <is>
          <t>2026-03-10</t>
        </is>
      </c>
      <c r="S10" t="inlineStr">
        <is>
          <t>2026-03-24</t>
        </is>
      </c>
      <c r="T10" t="inlineStr">
        <is>
          <t>2026-03-20</t>
        </is>
      </c>
      <c r="U10" t="inlineStr"/>
      <c r="V10" t="inlineStr">
        <is>
          <t>No</t>
        </is>
      </c>
      <c r="W10" t="inlineStr"/>
      <c r="X10" t="inlineStr"/>
    </row>
    <row r="11">
      <c r="A11" t="inlineStr">
        <is>
          <t>ST-002</t>
        </is>
      </c>
      <c r="B11" t="inlineStr">
        <is>
          <t>TP-001</t>
        </is>
      </c>
      <c r="C11" t="inlineStr">
        <is>
          <t>Subtarea</t>
        </is>
      </c>
      <c r="D11" t="n">
        <v>2</v>
      </c>
      <c r="E11" t="inlineStr">
        <is>
          <t>LM Core</t>
        </is>
      </c>
      <c r="F11" t="inlineStr">
        <is>
          <t>Aplicación internal Sancorep 2</t>
        </is>
      </c>
      <c r="G11" t="inlineStr"/>
      <c r="H11" t="inlineStr">
        <is>
          <t>Probar exportador PRO</t>
        </is>
      </c>
      <c r="I11" t="inlineStr">
        <is>
          <t>Probar que el exportador funciona correctamente en PRO</t>
        </is>
      </c>
      <c r="J11" t="inlineStr">
        <is>
          <t>Luis</t>
        </is>
      </c>
      <c r="K11" t="inlineStr">
        <is>
          <t>Alta</t>
        </is>
      </c>
      <c r="L11" t="inlineStr">
        <is>
          <t>Backlog</t>
        </is>
      </c>
      <c r="M11" t="inlineStr">
        <is>
          <t>No</t>
        </is>
      </c>
      <c r="N11" t="inlineStr">
        <is>
          <t>Sí</t>
        </is>
      </c>
      <c r="O11" t="inlineStr">
        <is>
          <t>R-2026.03.30</t>
        </is>
      </c>
      <c r="P11" t="inlineStr"/>
      <c r="Q11" t="inlineStr"/>
      <c r="R11" t="inlineStr">
        <is>
          <t>2026-03-10</t>
        </is>
      </c>
      <c r="S11" t="inlineStr">
        <is>
          <t>2026-03-30</t>
        </is>
      </c>
      <c r="T11" t="inlineStr"/>
      <c r="U11" t="inlineStr"/>
      <c r="V11" t="inlineStr">
        <is>
          <t>No</t>
        </is>
      </c>
      <c r="W11" t="inlineStr">
        <is>
          <t>ST-001</t>
        </is>
      </c>
      <c r="X11" t="inlineStr"/>
    </row>
    <row r="12">
      <c r="A12" t="inlineStr">
        <is>
          <t>ST-003</t>
        </is>
      </c>
      <c r="B12" t="inlineStr">
        <is>
          <t>TP-001</t>
        </is>
      </c>
      <c r="C12" t="inlineStr">
        <is>
          <t>Subtarea</t>
        </is>
      </c>
      <c r="D12" t="n">
        <v>3</v>
      </c>
      <c r="E12" t="inlineStr">
        <is>
          <t>LM Core</t>
        </is>
      </c>
      <c r="F12" t="inlineStr">
        <is>
          <t>Aplicación internal Sancorep 2</t>
        </is>
      </c>
      <c r="G12" t="inlineStr"/>
      <c r="H12" t="inlineStr">
        <is>
          <t>Validar datos iguales</t>
        </is>
      </c>
      <c r="I12" t="inlineStr">
        <is>
          <t>Validar que los datos son iguales para internal sancorep1 y 2</t>
        </is>
      </c>
      <c r="J12" t="inlineStr">
        <is>
          <t>Luis</t>
        </is>
      </c>
      <c r="K12" t="inlineStr">
        <is>
          <t>Alta</t>
        </is>
      </c>
      <c r="L12" t="inlineStr">
        <is>
          <t>En certificación</t>
        </is>
      </c>
      <c r="M12" t="inlineStr">
        <is>
          <t>Sí</t>
        </is>
      </c>
      <c r="N12" t="inlineStr">
        <is>
          <t>Sí</t>
        </is>
      </c>
      <c r="O12" t="inlineStr">
        <is>
          <t>R-2026.03.30</t>
        </is>
      </c>
      <c r="P12" t="inlineStr">
        <is>
          <t>PRE-2026.03.24</t>
        </is>
      </c>
      <c r="Q12" t="inlineStr"/>
      <c r="R12" t="inlineStr">
        <is>
          <t>2026-03-10</t>
        </is>
      </c>
      <c r="S12" t="inlineStr">
        <is>
          <t>2026-03-24</t>
        </is>
      </c>
      <c r="T12" t="inlineStr">
        <is>
          <t>2026-03-20</t>
        </is>
      </c>
      <c r="U12" t="inlineStr"/>
      <c r="V12" t="inlineStr">
        <is>
          <t>No</t>
        </is>
      </c>
      <c r="W12" t="inlineStr"/>
      <c r="X12" t="inlineStr"/>
    </row>
    <row r="13">
      <c r="A13" t="inlineStr">
        <is>
          <t>ST-004</t>
        </is>
      </c>
      <c r="B13" t="inlineStr">
        <is>
          <t>TP-001</t>
        </is>
      </c>
      <c r="C13" t="inlineStr">
        <is>
          <t>Subtarea</t>
        </is>
      </c>
      <c r="D13" t="n">
        <v>4</v>
      </c>
      <c r="E13" t="inlineStr">
        <is>
          <t>LM Core</t>
        </is>
      </c>
      <c r="F13" t="inlineStr">
        <is>
          <t>Aplicación internal Sancorep 2</t>
        </is>
      </c>
      <c r="G13" t="inlineStr"/>
      <c r="H13" t="inlineStr">
        <is>
          <t>Nombre fichero</t>
        </is>
      </c>
      <c r="I13" t="inlineStr">
        <is>
          <t>Chequear que el nombre del fichero cumple el requerimiento</t>
        </is>
      </c>
      <c r="J13" t="inlineStr">
        <is>
          <t>Luis</t>
        </is>
      </c>
      <c r="K13" t="inlineStr">
        <is>
          <t>Alta</t>
        </is>
      </c>
      <c r="L13" t="inlineStr">
        <is>
          <t>Backlog</t>
        </is>
      </c>
      <c r="M13" t="inlineStr">
        <is>
          <t>No</t>
        </is>
      </c>
      <c r="N13" t="inlineStr">
        <is>
          <t>Sí</t>
        </is>
      </c>
      <c r="O13" t="inlineStr">
        <is>
          <t>R-2026.03.30</t>
        </is>
      </c>
      <c r="P13" t="inlineStr"/>
      <c r="Q13" t="inlineStr"/>
      <c r="R13" t="inlineStr">
        <is>
          <t>2026-03-10</t>
        </is>
      </c>
      <c r="S13" t="inlineStr">
        <is>
          <t>2026-03-30</t>
        </is>
      </c>
      <c r="T13" t="inlineStr"/>
      <c r="U13" t="inlineStr"/>
      <c r="V13" t="inlineStr">
        <is>
          <t>No</t>
        </is>
      </c>
      <c r="W13" t="inlineStr"/>
      <c r="X13" t="inlineStr">
        <is>
          <t>Formato esperado: corep_interno_variable_tex_taxonomic_code_20_variable_period_timestamp.txt</t>
        </is>
      </c>
    </row>
    <row r="14">
      <c r="A14" t="inlineStr">
        <is>
          <t>TP-002</t>
        </is>
      </c>
      <c r="B14" t="inlineStr">
        <is>
          <t>EP-001</t>
        </is>
      </c>
      <c r="C14" t="inlineStr">
        <is>
          <t>Topic</t>
        </is>
      </c>
      <c r="D14" t="n">
        <v>2</v>
      </c>
      <c r="E14" t="inlineStr">
        <is>
          <t>LM Core</t>
        </is>
      </c>
      <c r="F14" t="inlineStr">
        <is>
          <t>Ajustes por ingesta masiva</t>
        </is>
      </c>
      <c r="G14" t="inlineStr"/>
      <c r="H14" t="inlineStr"/>
      <c r="I14" t="inlineStr">
        <is>
          <t>Ajustes por ingesta masiva</t>
        </is>
      </c>
      <c r="J14" t="inlineStr">
        <is>
          <t>Luis</t>
        </is>
      </c>
      <c r="K14" t="inlineStr">
        <is>
          <t>Alta</t>
        </is>
      </c>
      <c r="L14" t="inlineStr">
        <is>
          <t>En curso</t>
        </is>
      </c>
      <c r="M14" t="inlineStr">
        <is>
          <t>Sí</t>
        </is>
      </c>
      <c r="N14" t="inlineStr">
        <is>
          <t>Sí</t>
        </is>
      </c>
      <c r="O14" t="inlineStr">
        <is>
          <t>R-2026.03.30</t>
        </is>
      </c>
      <c r="P14" t="inlineStr">
        <is>
          <t>PRE-2026.03.24</t>
        </is>
      </c>
      <c r="Q14" t="inlineStr"/>
      <c r="R14" t="inlineStr">
        <is>
          <t>2026-03-12</t>
        </is>
      </c>
      <c r="S14" t="inlineStr">
        <is>
          <t>2026-03-30</t>
        </is>
      </c>
      <c r="T14" t="inlineStr">
        <is>
          <t>2026-03-18</t>
        </is>
      </c>
      <c r="U14" t="inlineStr"/>
      <c r="V14" t="inlineStr">
        <is>
          <t>No</t>
        </is>
      </c>
      <c r="W14" t="inlineStr"/>
      <c r="X14" t="inlineStr"/>
    </row>
    <row r="15">
      <c r="A15" t="inlineStr">
        <is>
          <t>ST-005</t>
        </is>
      </c>
      <c r="B15" t="inlineStr">
        <is>
          <t>TP-002</t>
        </is>
      </c>
      <c r="C15" t="inlineStr">
        <is>
          <t>Subtarea</t>
        </is>
      </c>
      <c r="D15" t="n">
        <v>1</v>
      </c>
      <c r="E15" t="inlineStr">
        <is>
          <t>LM Core</t>
        </is>
      </c>
      <c r="F15" t="inlineStr">
        <is>
          <t>Ajustes por ingesta masiva</t>
        </is>
      </c>
      <c r="G15" t="inlineStr"/>
      <c r="H15" t="inlineStr">
        <is>
          <t>Ingestar fichero masivo</t>
        </is>
      </c>
      <c r="I15" t="inlineStr">
        <is>
          <t>Ingestar un fichero de ajustes masivo a un módulo</t>
        </is>
      </c>
      <c r="J15" t="inlineStr">
        <is>
          <t>Luis</t>
        </is>
      </c>
      <c r="K15" t="inlineStr">
        <is>
          <t>Alta</t>
        </is>
      </c>
      <c r="L15" t="inlineStr">
        <is>
          <t>Completada</t>
        </is>
      </c>
      <c r="M15" t="inlineStr">
        <is>
          <t>Sí</t>
        </is>
      </c>
      <c r="N15" t="inlineStr">
        <is>
          <t>Sí</t>
        </is>
      </c>
      <c r="O15" t="inlineStr">
        <is>
          <t>R-2026.03.24</t>
        </is>
      </c>
      <c r="P15" t="inlineStr">
        <is>
          <t>PRE-2026.03.24</t>
        </is>
      </c>
      <c r="Q15" t="inlineStr"/>
      <c r="R15" t="inlineStr">
        <is>
          <t>2026-03-12</t>
        </is>
      </c>
      <c r="S15" t="inlineStr">
        <is>
          <t>2026-03-18</t>
        </is>
      </c>
      <c r="T15" t="inlineStr">
        <is>
          <t>2026-03-12</t>
        </is>
      </c>
      <c r="U15" t="inlineStr">
        <is>
          <t>2026-03-18</t>
        </is>
      </c>
      <c r="V15" t="inlineStr">
        <is>
          <t>No</t>
        </is>
      </c>
      <c r="W15" t="inlineStr"/>
      <c r="X15" t="inlineStr"/>
    </row>
    <row r="16">
      <c r="A16" t="inlineStr">
        <is>
          <t>ST-006</t>
        </is>
      </c>
      <c r="B16" t="inlineStr">
        <is>
          <t>TP-002</t>
        </is>
      </c>
      <c r="C16" t="inlineStr">
        <is>
          <t>Subtarea</t>
        </is>
      </c>
      <c r="D16" t="n">
        <v>2</v>
      </c>
      <c r="E16" t="inlineStr">
        <is>
          <t>LM Core</t>
        </is>
      </c>
      <c r="F16" t="inlineStr">
        <is>
          <t>Ajustes por ingesta masiva</t>
        </is>
      </c>
      <c r="G16" t="inlineStr"/>
      <c r="H16" t="inlineStr">
        <is>
          <t>Parcial o total</t>
        </is>
      </c>
      <c r="I16" t="inlineStr">
        <is>
          <t>Probar que se puede ingestar parcial o total</t>
        </is>
      </c>
      <c r="J16" t="inlineStr">
        <is>
          <t>Luis</t>
        </is>
      </c>
      <c r="K16" t="inlineStr">
        <is>
          <t>Alta</t>
        </is>
      </c>
      <c r="L16" t="inlineStr">
        <is>
          <t>Completada</t>
        </is>
      </c>
      <c r="M16" t="inlineStr">
        <is>
          <t>Sí</t>
        </is>
      </c>
      <c r="N16" t="inlineStr">
        <is>
          <t>Sí</t>
        </is>
      </c>
      <c r="O16" t="inlineStr">
        <is>
          <t>R-2026.03.24</t>
        </is>
      </c>
      <c r="P16" t="inlineStr">
        <is>
          <t>PRE-2026.03.24</t>
        </is>
      </c>
      <c r="Q16" t="inlineStr"/>
      <c r="R16" t="inlineStr">
        <is>
          <t>2026-03-12</t>
        </is>
      </c>
      <c r="S16" t="inlineStr">
        <is>
          <t>2026-03-18</t>
        </is>
      </c>
      <c r="T16" t="inlineStr">
        <is>
          <t>2026-03-12</t>
        </is>
      </c>
      <c r="U16" t="inlineStr">
        <is>
          <t>2026-03-18</t>
        </is>
      </c>
      <c r="V16" t="inlineStr">
        <is>
          <t>No</t>
        </is>
      </c>
      <c r="W16" t="inlineStr"/>
      <c r="X16" t="inlineStr">
        <is>
          <t>Terminada</t>
        </is>
      </c>
    </row>
    <row r="17">
      <c r="A17" t="inlineStr">
        <is>
          <t>ST-007</t>
        </is>
      </c>
      <c r="B17" t="inlineStr">
        <is>
          <t>TP-002</t>
        </is>
      </c>
      <c r="C17" t="inlineStr">
        <is>
          <t>Subtarea</t>
        </is>
      </c>
      <c r="D17" t="n">
        <v>3</v>
      </c>
      <c r="E17" t="inlineStr">
        <is>
          <t>LM Core</t>
        </is>
      </c>
      <c r="F17" t="inlineStr">
        <is>
          <t>Ajustes por ingesta masiva</t>
        </is>
      </c>
      <c r="G17" t="inlineStr"/>
      <c r="H17" t="inlineStr">
        <is>
          <t>Más informes que ajustes</t>
        </is>
      </c>
      <c r="I17" t="inlineStr">
        <is>
          <t>Probar que si hay más informes de los que se pueden ingestar se indica correctamente</t>
        </is>
      </c>
      <c r="J17" t="inlineStr">
        <is>
          <t>Luis</t>
        </is>
      </c>
      <c r="K17" t="inlineStr">
        <is>
          <t>Alta</t>
        </is>
      </c>
      <c r="L17" t="inlineStr">
        <is>
          <t>Backlog</t>
        </is>
      </c>
      <c r="M17" t="inlineStr">
        <is>
          <t>No</t>
        </is>
      </c>
      <c r="N17" t="inlineStr">
        <is>
          <t>Sí</t>
        </is>
      </c>
      <c r="O17" t="inlineStr">
        <is>
          <t>R-2026.03.30</t>
        </is>
      </c>
      <c r="P17" t="inlineStr"/>
      <c r="Q17" t="inlineStr"/>
      <c r="R17" t="inlineStr">
        <is>
          <t>2026-03-12</t>
        </is>
      </c>
      <c r="S17" t="inlineStr">
        <is>
          <t>2026-03-30</t>
        </is>
      </c>
      <c r="T17" t="inlineStr"/>
      <c r="U17" t="inlineStr"/>
      <c r="V17" t="inlineStr">
        <is>
          <t>No</t>
        </is>
      </c>
      <c r="W17" t="inlineStr"/>
      <c r="X17" t="inlineStr">
        <is>
          <t>Pendiente</t>
        </is>
      </c>
    </row>
    <row r="18">
      <c r="A18" t="inlineStr">
        <is>
          <t>ST-008</t>
        </is>
      </c>
      <c r="B18" t="inlineStr">
        <is>
          <t>TP-002</t>
        </is>
      </c>
      <c r="C18" t="inlineStr">
        <is>
          <t>Subtarea</t>
        </is>
      </c>
      <c r="D18" t="n">
        <v>4</v>
      </c>
      <c r="E18" t="inlineStr">
        <is>
          <t>LM Core</t>
        </is>
      </c>
      <c r="F18" t="inlineStr">
        <is>
          <t>Ajustes por ingesta masiva</t>
        </is>
      </c>
      <c r="G18" t="inlineStr"/>
      <c r="H18" t="inlineStr">
        <is>
          <t>Modal ajustes/descarga</t>
        </is>
      </c>
      <c r="I18" t="inlineStr">
        <is>
          <t>Ver que el modal de ajustes y descarga funciona correctamente</t>
        </is>
      </c>
      <c r="J18" t="inlineStr">
        <is>
          <t>Luis</t>
        </is>
      </c>
      <c r="K18" t="inlineStr">
        <is>
          <t>Alta</t>
        </is>
      </c>
      <c r="L18" t="inlineStr">
        <is>
          <t>Completada</t>
        </is>
      </c>
      <c r="M18" t="inlineStr">
        <is>
          <t>Sí</t>
        </is>
      </c>
      <c r="N18" t="inlineStr">
        <is>
          <t>Sí</t>
        </is>
      </c>
      <c r="O18" t="inlineStr">
        <is>
          <t>R-2026.03.24</t>
        </is>
      </c>
      <c r="P18" t="inlineStr">
        <is>
          <t>PRE-2026.03.24</t>
        </is>
      </c>
      <c r="Q18" t="inlineStr"/>
      <c r="R18" t="inlineStr">
        <is>
          <t>2026-03-12</t>
        </is>
      </c>
      <c r="S18" t="inlineStr">
        <is>
          <t>2026-03-18</t>
        </is>
      </c>
      <c r="T18" t="inlineStr">
        <is>
          <t>2026-03-12</t>
        </is>
      </c>
      <c r="U18" t="inlineStr">
        <is>
          <t>2026-03-18</t>
        </is>
      </c>
      <c r="V18" t="inlineStr">
        <is>
          <t>No</t>
        </is>
      </c>
      <c r="W18" t="inlineStr"/>
      <c r="X18" t="inlineStr">
        <is>
          <t>Terminada</t>
        </is>
      </c>
    </row>
    <row r="19">
      <c r="A19" t="inlineStr">
        <is>
          <t>ST-009</t>
        </is>
      </c>
      <c r="B19" t="inlineStr">
        <is>
          <t>TP-002</t>
        </is>
      </c>
      <c r="C19" t="inlineStr">
        <is>
          <t>Subtarea</t>
        </is>
      </c>
      <c r="D19" t="n">
        <v>5</v>
      </c>
      <c r="E19" t="inlineStr">
        <is>
          <t>LM Core</t>
        </is>
      </c>
      <c r="F19" t="inlineStr">
        <is>
          <t>Ajustes por ingesta masiva</t>
        </is>
      </c>
      <c r="G19" t="inlineStr"/>
      <c r="H19" t="inlineStr">
        <is>
          <t>Aplicar tabla de ajustes</t>
        </is>
      </c>
      <c r="I19" t="inlineStr">
        <is>
          <t>Aplicar a las queries de los exportadores la tabla de ajustes solo para exportadores del modelo nuevo</t>
        </is>
      </c>
      <c r="J19" t="inlineStr">
        <is>
          <t>Luis</t>
        </is>
      </c>
      <c r="K19" t="inlineStr">
        <is>
          <t>Alta</t>
        </is>
      </c>
      <c r="L19" t="inlineStr">
        <is>
          <t>Backlog</t>
        </is>
      </c>
      <c r="M19" t="inlineStr">
        <is>
          <t>No</t>
        </is>
      </c>
      <c r="N19" t="inlineStr">
        <is>
          <t>No</t>
        </is>
      </c>
      <c r="O19" t="inlineStr">
        <is>
          <t>R-2026.03.30</t>
        </is>
      </c>
      <c r="P19" t="inlineStr"/>
      <c r="Q19" t="inlineStr"/>
      <c r="R19" t="inlineStr">
        <is>
          <t>2026-03-12</t>
        </is>
      </c>
      <c r="S19" t="inlineStr">
        <is>
          <t>2026-03-30</t>
        </is>
      </c>
      <c r="T19" t="inlineStr"/>
      <c r="U19" t="inlineStr"/>
      <c r="V19" t="inlineStr">
        <is>
          <t>No</t>
        </is>
      </c>
      <c r="W19" t="inlineStr"/>
      <c r="X19" t="inlineStr">
        <is>
          <t>Interrogación abierta</t>
        </is>
      </c>
    </row>
    <row r="20">
      <c r="A20" t="inlineStr">
        <is>
          <t>ST-010</t>
        </is>
      </c>
      <c r="B20" t="inlineStr">
        <is>
          <t>TP-002</t>
        </is>
      </c>
      <c r="C20" t="inlineStr">
        <is>
          <t>Subtarea</t>
        </is>
      </c>
      <c r="D20" t="n">
        <v>6</v>
      </c>
      <c r="E20" t="inlineStr">
        <is>
          <t>LM Core</t>
        </is>
      </c>
      <c r="F20" t="inlineStr">
        <is>
          <t>Ajustes por ingesta masiva</t>
        </is>
      </c>
      <c r="G20" t="inlineStr"/>
      <c r="H20" t="inlineStr">
        <is>
          <t>Pruebas con visor</t>
        </is>
      </c>
      <c r="I20" t="inlineStr">
        <is>
          <t>Hacer pruebas con el visor, comparar lo que se visualiza y se descarga</t>
        </is>
      </c>
      <c r="J20" t="inlineStr">
        <is>
          <t>Luis</t>
        </is>
      </c>
      <c r="K20" t="inlineStr">
        <is>
          <t>Alta</t>
        </is>
      </c>
      <c r="L20" t="inlineStr">
        <is>
          <t>Backlog</t>
        </is>
      </c>
      <c r="M20" t="inlineStr">
        <is>
          <t>No</t>
        </is>
      </c>
      <c r="N20" t="inlineStr">
        <is>
          <t>Sí</t>
        </is>
      </c>
      <c r="O20" t="inlineStr">
        <is>
          <t>R-2026.03.30</t>
        </is>
      </c>
      <c r="P20" t="inlineStr"/>
      <c r="Q20" t="inlineStr"/>
      <c r="R20" t="inlineStr">
        <is>
          <t>2026-03-12</t>
        </is>
      </c>
      <c r="S20" t="inlineStr">
        <is>
          <t>2026-03-30</t>
        </is>
      </c>
      <c r="T20" t="inlineStr"/>
      <c r="U20" t="inlineStr"/>
      <c r="V20" t="inlineStr">
        <is>
          <t>No</t>
        </is>
      </c>
      <c r="W20" t="inlineStr">
        <is>
          <t>ST-009</t>
        </is>
      </c>
      <c r="X20" t="inlineStr"/>
    </row>
    <row r="21">
      <c r="A21" t="inlineStr">
        <is>
          <t>TP-003</t>
        </is>
      </c>
      <c r="B21" t="inlineStr">
        <is>
          <t>EP-001</t>
        </is>
      </c>
      <c r="C21" t="inlineStr">
        <is>
          <t>Topic</t>
        </is>
      </c>
      <c r="D21" t="n">
        <v>3</v>
      </c>
      <c r="E21" t="inlineStr">
        <is>
          <t>LM Core</t>
        </is>
      </c>
      <c r="F21" t="inlineStr">
        <is>
          <t>Validaciones</t>
        </is>
      </c>
      <c r="G21" t="inlineStr"/>
      <c r="H21" t="inlineStr"/>
      <c r="I21" t="inlineStr">
        <is>
          <t>Validaciones</t>
        </is>
      </c>
      <c r="J21" t="inlineStr">
        <is>
          <t>Luis</t>
        </is>
      </c>
      <c r="K21" t="inlineStr">
        <is>
          <t>Media</t>
        </is>
      </c>
      <c r="L21" t="inlineStr">
        <is>
          <t>En curso</t>
        </is>
      </c>
      <c r="M21" t="inlineStr">
        <is>
          <t>Sí</t>
        </is>
      </c>
      <c r="N21" t="inlineStr">
        <is>
          <t>Sí</t>
        </is>
      </c>
      <c r="O21" t="inlineStr">
        <is>
          <t>R-2026.03.30</t>
        </is>
      </c>
      <c r="P21" t="inlineStr"/>
      <c r="Q21" t="inlineStr"/>
      <c r="R21" t="inlineStr">
        <is>
          <t>2026-03-09</t>
        </is>
      </c>
      <c r="S21" t="inlineStr"/>
      <c r="T21" t="inlineStr">
        <is>
          <t>2026-03-09</t>
        </is>
      </c>
      <c r="U21" t="inlineStr"/>
      <c r="V21" t="inlineStr">
        <is>
          <t>No</t>
        </is>
      </c>
      <c r="W21" t="inlineStr"/>
      <c r="X21" t="inlineStr">
        <is>
          <t>Topic evolutivo</t>
        </is>
      </c>
    </row>
    <row r="22">
      <c r="A22" t="inlineStr">
        <is>
          <t>ST-011</t>
        </is>
      </c>
      <c r="B22" t="inlineStr">
        <is>
          <t>TP-003</t>
        </is>
      </c>
      <c r="C22" t="inlineStr">
        <is>
          <t>Subtarea</t>
        </is>
      </c>
      <c r="D22" t="n">
        <v>1</v>
      </c>
      <c r="E22" t="inlineStr">
        <is>
          <t>LM Core</t>
        </is>
      </c>
      <c r="F22" t="inlineStr">
        <is>
          <t>Validaciones</t>
        </is>
      </c>
      <c r="G22" t="inlineStr"/>
      <c r="H22" t="inlineStr">
        <is>
          <t>Esconder estatus</t>
        </is>
      </c>
      <c r="I22" t="inlineStr">
        <is>
          <t>Esconder por defecto columna estatus en el modal de validaciones</t>
        </is>
      </c>
      <c r="J22" t="inlineStr">
        <is>
          <t>Luis</t>
        </is>
      </c>
      <c r="K22" t="inlineStr">
        <is>
          <t>Media</t>
        </is>
      </c>
      <c r="L22" t="inlineStr">
        <is>
          <t>Completada</t>
        </is>
      </c>
      <c r="M22" t="inlineStr">
        <is>
          <t>Sí</t>
        </is>
      </c>
      <c r="N22" t="inlineStr">
        <is>
          <t>Sí</t>
        </is>
      </c>
      <c r="O22" t="inlineStr">
        <is>
          <t>R-2026.03.10</t>
        </is>
      </c>
      <c r="P22" t="inlineStr"/>
      <c r="Q22" t="inlineStr"/>
      <c r="R22" t="inlineStr">
        <is>
          <t>2026-03-09</t>
        </is>
      </c>
      <c r="S22" t="inlineStr">
        <is>
          <t>2026-03-09</t>
        </is>
      </c>
      <c r="T22" t="inlineStr">
        <is>
          <t>2026-03-09</t>
        </is>
      </c>
      <c r="U22" t="inlineStr">
        <is>
          <t>2026-03-09</t>
        </is>
      </c>
      <c r="V22" t="inlineStr">
        <is>
          <t>No</t>
        </is>
      </c>
      <c r="W22" t="inlineStr"/>
      <c r="X22" t="inlineStr">
        <is>
          <t>Terminada hace dos semanas</t>
        </is>
      </c>
    </row>
    <row r="23">
      <c r="A23" t="inlineStr">
        <is>
          <t>ST-012</t>
        </is>
      </c>
      <c r="B23" t="inlineStr">
        <is>
          <t>TP-003</t>
        </is>
      </c>
      <c r="C23" t="inlineStr">
        <is>
          <t>Subtarea</t>
        </is>
      </c>
      <c r="D23" t="n">
        <v>2</v>
      </c>
      <c r="E23" t="inlineStr">
        <is>
          <t>LM Core</t>
        </is>
      </c>
      <c r="F23" t="inlineStr">
        <is>
          <t>Validaciones</t>
        </is>
      </c>
      <c r="G23" t="inlineStr"/>
      <c r="H23" t="inlineStr">
        <is>
          <t>Orden restrictivas/informativas</t>
        </is>
      </c>
      <c r="I23" t="inlineStr">
        <is>
          <t>No se ordenan bien restrictivas y luego informativas</t>
        </is>
      </c>
      <c r="J23" t="inlineStr">
        <is>
          <t>Luis</t>
        </is>
      </c>
      <c r="K23" t="inlineStr">
        <is>
          <t>Media</t>
        </is>
      </c>
      <c r="L23" t="inlineStr">
        <is>
          <t>Completada</t>
        </is>
      </c>
      <c r="M23" t="inlineStr">
        <is>
          <t>Sí</t>
        </is>
      </c>
      <c r="N23" t="inlineStr">
        <is>
          <t>Sí</t>
        </is>
      </c>
      <c r="O23" t="inlineStr">
        <is>
          <t>R-2026.03.10</t>
        </is>
      </c>
      <c r="P23" t="inlineStr"/>
      <c r="Q23" t="inlineStr"/>
      <c r="R23" t="inlineStr">
        <is>
          <t>2026-03-09</t>
        </is>
      </c>
      <c r="S23" t="inlineStr">
        <is>
          <t>2026-03-09</t>
        </is>
      </c>
      <c r="T23" t="inlineStr">
        <is>
          <t>2026-03-09</t>
        </is>
      </c>
      <c r="U23" t="inlineStr">
        <is>
          <t>2026-03-09</t>
        </is>
      </c>
      <c r="V23" t="inlineStr">
        <is>
          <t>No</t>
        </is>
      </c>
      <c r="W23" t="inlineStr"/>
      <c r="X23" t="inlineStr">
        <is>
          <t>Terminada hace dos semanas</t>
        </is>
      </c>
    </row>
    <row r="24">
      <c r="A24" t="inlineStr">
        <is>
          <t>ST-013</t>
        </is>
      </c>
      <c r="B24" t="inlineStr">
        <is>
          <t>TP-003</t>
        </is>
      </c>
      <c r="C24" t="inlineStr">
        <is>
          <t>Subtarea</t>
        </is>
      </c>
      <c r="D24" t="n">
        <v>3</v>
      </c>
      <c r="E24" t="inlineStr">
        <is>
          <t>LM Core</t>
        </is>
      </c>
      <c r="F24" t="inlineStr">
        <is>
          <t>Validaciones</t>
        </is>
      </c>
      <c r="G24" t="inlineStr"/>
      <c r="H24" t="inlineStr">
        <is>
          <t>Botón validar antes</t>
        </is>
      </c>
      <c r="I24" t="inlineStr">
        <is>
          <t>Poner el botón de validar primero y luego el botón de visualizar</t>
        </is>
      </c>
      <c r="J24" t="inlineStr">
        <is>
          <t>Luis</t>
        </is>
      </c>
      <c r="K24" t="inlineStr">
        <is>
          <t>Media</t>
        </is>
      </c>
      <c r="L24" t="inlineStr">
        <is>
          <t>Completada</t>
        </is>
      </c>
      <c r="M24" t="inlineStr">
        <is>
          <t>Sí</t>
        </is>
      </c>
      <c r="N24" t="inlineStr">
        <is>
          <t>Sí</t>
        </is>
      </c>
      <c r="O24" t="inlineStr">
        <is>
          <t>R-2026.03.10</t>
        </is>
      </c>
      <c r="P24" t="inlineStr"/>
      <c r="Q24" t="inlineStr"/>
      <c r="R24" t="inlineStr">
        <is>
          <t>2026-03-09</t>
        </is>
      </c>
      <c r="S24" t="inlineStr">
        <is>
          <t>2026-03-09</t>
        </is>
      </c>
      <c r="T24" t="inlineStr">
        <is>
          <t>2026-03-09</t>
        </is>
      </c>
      <c r="U24" t="inlineStr">
        <is>
          <t>2026-03-09</t>
        </is>
      </c>
      <c r="V24" t="inlineStr">
        <is>
          <t>No</t>
        </is>
      </c>
      <c r="W24" t="inlineStr"/>
      <c r="X24" t="inlineStr">
        <is>
          <t>Terminada hace dos semanas</t>
        </is>
      </c>
    </row>
    <row r="25">
      <c r="A25" t="inlineStr">
        <is>
          <t>TP-004</t>
        </is>
      </c>
      <c r="B25" t="inlineStr">
        <is>
          <t>EP-001</t>
        </is>
      </c>
      <c r="C25" t="inlineStr">
        <is>
          <t>Topic</t>
        </is>
      </c>
      <c r="D25" t="n">
        <v>4</v>
      </c>
      <c r="E25" t="inlineStr">
        <is>
          <t>LM Core</t>
        </is>
      </c>
      <c r="F25" t="inlineStr">
        <is>
          <t>Ingestas</t>
        </is>
      </c>
      <c r="G25" t="inlineStr"/>
      <c r="H25" t="inlineStr"/>
      <c r="I25" t="inlineStr">
        <is>
          <t>Ingestas</t>
        </is>
      </c>
      <c r="J25" t="inlineStr">
        <is>
          <t>Luis</t>
        </is>
      </c>
      <c r="K25" t="inlineStr">
        <is>
          <t>Alta</t>
        </is>
      </c>
      <c r="L25" t="inlineStr">
        <is>
          <t>Backlog</t>
        </is>
      </c>
      <c r="M25" t="inlineStr">
        <is>
          <t>No</t>
        </is>
      </c>
      <c r="N25" t="inlineStr">
        <is>
          <t>Sí</t>
        </is>
      </c>
      <c r="O25" t="inlineStr">
        <is>
          <t>R-2026.03.30</t>
        </is>
      </c>
      <c r="P25" t="inlineStr"/>
      <c r="Q25" t="inlineStr"/>
      <c r="R25" t="inlineStr">
        <is>
          <t>2026-03-23</t>
        </is>
      </c>
      <c r="S25" t="inlineStr">
        <is>
          <t>2026-03-30</t>
        </is>
      </c>
      <c r="T25" t="inlineStr"/>
      <c r="U25" t="inlineStr"/>
      <c r="V25" t="inlineStr">
        <is>
          <t>No</t>
        </is>
      </c>
      <c r="W25" t="inlineStr"/>
      <c r="X25" t="inlineStr"/>
    </row>
    <row r="26">
      <c r="A26" t="inlineStr">
        <is>
          <t>ST-014</t>
        </is>
      </c>
      <c r="B26" t="inlineStr">
        <is>
          <t>TP-004</t>
        </is>
      </c>
      <c r="C26" t="inlineStr">
        <is>
          <t>Subtarea</t>
        </is>
      </c>
      <c r="D26" t="n">
        <v>1</v>
      </c>
      <c r="E26" t="inlineStr">
        <is>
          <t>LM Core</t>
        </is>
      </c>
      <c r="F26" t="inlineStr">
        <is>
          <t>Ingestas</t>
        </is>
      </c>
      <c r="G26" t="inlineStr"/>
      <c r="H26" t="inlineStr">
        <is>
          <t>Borrado de módulos</t>
        </is>
      </c>
      <c r="I26" t="inlineStr">
        <is>
          <t>No se borran las ingestas cuando borras un módulo</t>
        </is>
      </c>
      <c r="J26" t="inlineStr">
        <is>
          <t>Luis</t>
        </is>
      </c>
      <c r="K26" t="inlineStr">
        <is>
          <t>Alta</t>
        </is>
      </c>
      <c r="L26" t="inlineStr">
        <is>
          <t>Backlog</t>
        </is>
      </c>
      <c r="M26" t="inlineStr">
        <is>
          <t>No</t>
        </is>
      </c>
      <c r="N26" t="inlineStr">
        <is>
          <t>Sí</t>
        </is>
      </c>
      <c r="O26" t="inlineStr">
        <is>
          <t>R-2026.03.30</t>
        </is>
      </c>
      <c r="P26" t="inlineStr"/>
      <c r="Q26" t="inlineStr"/>
      <c r="R26" t="inlineStr">
        <is>
          <t>2026-03-23</t>
        </is>
      </c>
      <c r="S26" t="inlineStr">
        <is>
          <t>2026-03-30</t>
        </is>
      </c>
      <c r="T26" t="inlineStr"/>
      <c r="U26" t="inlineStr"/>
      <c r="V26" t="inlineStr">
        <is>
          <t>No</t>
        </is>
      </c>
      <c r="W26" t="inlineStr"/>
      <c r="X26" t="inlineStr"/>
    </row>
    <row r="27">
      <c r="A27" t="inlineStr">
        <is>
          <t>ST-015</t>
        </is>
      </c>
      <c r="B27" t="inlineStr">
        <is>
          <t>TP-004</t>
        </is>
      </c>
      <c r="C27" t="inlineStr">
        <is>
          <t>Subtarea</t>
        </is>
      </c>
      <c r="D27" t="n">
        <v>2</v>
      </c>
      <c r="E27" t="inlineStr">
        <is>
          <t>LM Core</t>
        </is>
      </c>
      <c r="F27" t="inlineStr">
        <is>
          <t>Ingestas</t>
        </is>
      </c>
      <c r="G27" t="inlineStr"/>
      <c r="H27" t="inlineStr">
        <is>
          <t>Proteger redirección</t>
        </is>
      </c>
      <c r="I27" t="inlineStr">
        <is>
          <t>Proteger la redirección de la ingesta a un módulo con alerta: Este módulo ya no se encuentra disponible</t>
        </is>
      </c>
      <c r="J27" t="inlineStr">
        <is>
          <t>Luis</t>
        </is>
      </c>
      <c r="K27" t="inlineStr">
        <is>
          <t>Alta</t>
        </is>
      </c>
      <c r="L27" t="inlineStr">
        <is>
          <t>Backlog</t>
        </is>
      </c>
      <c r="M27" t="inlineStr">
        <is>
          <t>No</t>
        </is>
      </c>
      <c r="N27" t="inlineStr">
        <is>
          <t>Sí</t>
        </is>
      </c>
      <c r="O27" t="inlineStr">
        <is>
          <t>R-2026.03.30</t>
        </is>
      </c>
      <c r="P27" t="inlineStr"/>
      <c r="Q27" t="inlineStr"/>
      <c r="R27" t="inlineStr">
        <is>
          <t>2026-03-23</t>
        </is>
      </c>
      <c r="S27" t="inlineStr">
        <is>
          <t>2026-03-30</t>
        </is>
      </c>
      <c r="T27" t="inlineStr"/>
      <c r="U27" t="inlineStr"/>
      <c r="V27" t="inlineStr">
        <is>
          <t>No</t>
        </is>
      </c>
      <c r="W27" t="inlineStr"/>
      <c r="X27" t="inlineStr">
        <is>
          <t>No hecha</t>
        </is>
      </c>
    </row>
    <row r="28">
      <c r="A28" t="inlineStr">
        <is>
          <t>TP-005</t>
        </is>
      </c>
      <c r="B28" t="inlineStr">
        <is>
          <t>EP-003</t>
        </is>
      </c>
      <c r="C28" t="inlineStr">
        <is>
          <t>Topic</t>
        </is>
      </c>
      <c r="D28" t="n">
        <v>1</v>
      </c>
      <c r="E28" t="inlineStr">
        <is>
          <t>Fix</t>
        </is>
      </c>
      <c r="F28" t="inlineStr">
        <is>
          <t>Copiado de módulos</t>
        </is>
      </c>
      <c r="G28" t="inlineStr"/>
      <c r="H28" t="inlineStr"/>
      <c r="I28" t="inlineStr">
        <is>
          <t>Copiado de módulos</t>
        </is>
      </c>
      <c r="J28" t="inlineStr">
        <is>
          <t>Alejandro</t>
        </is>
      </c>
      <c r="K28" t="inlineStr">
        <is>
          <t>Alta</t>
        </is>
      </c>
      <c r="L28" t="inlineStr">
        <is>
          <t>Backlog</t>
        </is>
      </c>
      <c r="M28" t="inlineStr">
        <is>
          <t>No</t>
        </is>
      </c>
      <c r="N28" t="inlineStr">
        <is>
          <t>Sí</t>
        </is>
      </c>
      <c r="O28" t="inlineStr">
        <is>
          <t>R-2026.03.30</t>
        </is>
      </c>
      <c r="P28" t="inlineStr"/>
      <c r="Q28" t="inlineStr"/>
      <c r="R28" t="inlineStr">
        <is>
          <t>2026-03-23</t>
        </is>
      </c>
      <c r="S28" t="inlineStr">
        <is>
          <t>2026-03-30</t>
        </is>
      </c>
      <c r="T28" t="inlineStr"/>
      <c r="U28" t="inlineStr"/>
      <c r="V28" t="inlineStr">
        <is>
          <t>No</t>
        </is>
      </c>
      <c r="W28" t="inlineStr"/>
      <c r="X28" t="inlineStr">
        <is>
          <t>Incidencia Alberto</t>
        </is>
      </c>
    </row>
    <row r="29">
      <c r="A29" t="inlineStr">
        <is>
          <t>ST-016</t>
        </is>
      </c>
      <c r="B29" t="inlineStr">
        <is>
          <t>TP-005</t>
        </is>
      </c>
      <c r="C29" t="inlineStr">
        <is>
          <t>Subtarea</t>
        </is>
      </c>
      <c r="D29" t="n">
        <v>1</v>
      </c>
      <c r="E29" t="inlineStr">
        <is>
          <t>Fix</t>
        </is>
      </c>
      <c r="F29" t="inlineStr">
        <is>
          <t>Copiado de módulos</t>
        </is>
      </c>
      <c r="G29" t="inlineStr"/>
      <c r="H29" t="inlineStr">
        <is>
          <t>Solvencia 3 start period</t>
        </is>
      </c>
      <c r="I29" t="inlineStr">
        <is>
          <t>Copiado de solvencia 3 agrega el periodo start de la jurisdicción y no del regulador. Chequear qué pasa.</t>
        </is>
      </c>
      <c r="J29" t="inlineStr">
        <is>
          <t>Alejandro</t>
        </is>
      </c>
      <c r="K29" t="inlineStr">
        <is>
          <t>Alta</t>
        </is>
      </c>
      <c r="L29" t="inlineStr">
        <is>
          <t>Backlog</t>
        </is>
      </c>
      <c r="M29" t="inlineStr">
        <is>
          <t>No</t>
        </is>
      </c>
      <c r="N29" t="inlineStr">
        <is>
          <t>Sí</t>
        </is>
      </c>
      <c r="O29" t="inlineStr">
        <is>
          <t>R-2026.03.30</t>
        </is>
      </c>
      <c r="P29" t="inlineStr"/>
      <c r="Q29" t="inlineStr"/>
      <c r="R29" t="inlineStr">
        <is>
          <t>2026-03-23</t>
        </is>
      </c>
      <c r="S29" t="inlineStr">
        <is>
          <t>2026-03-30</t>
        </is>
      </c>
      <c r="T29" t="inlineStr"/>
      <c r="U29" t="inlineStr"/>
      <c r="V29" t="inlineStr">
        <is>
          <t>No</t>
        </is>
      </c>
      <c r="W29" t="inlineStr"/>
      <c r="X29" t="inlineStr"/>
    </row>
    <row r="30">
      <c r="A30" t="inlineStr">
        <is>
          <t>TP-006</t>
        </is>
      </c>
      <c r="B30" t="inlineStr">
        <is>
          <t>EP-001</t>
        </is>
      </c>
      <c r="C30" t="inlineStr">
        <is>
          <t>Topic</t>
        </is>
      </c>
      <c r="D30" t="n">
        <v>5</v>
      </c>
      <c r="E30" t="inlineStr">
        <is>
          <t>LM Core</t>
        </is>
      </c>
      <c r="F30" t="inlineStr">
        <is>
          <t>Migraciones</t>
        </is>
      </c>
      <c r="G30" t="inlineStr"/>
      <c r="H30" t="inlineStr"/>
      <c r="I30" t="inlineStr">
        <is>
          <t>Migraciones</t>
        </is>
      </c>
      <c r="J30" t="inlineStr">
        <is>
          <t>Guillermo</t>
        </is>
      </c>
      <c r="K30" t="inlineStr">
        <is>
          <t>Media</t>
        </is>
      </c>
      <c r="L30" t="inlineStr">
        <is>
          <t>Backlog</t>
        </is>
      </c>
      <c r="M30" t="inlineStr">
        <is>
          <t>No</t>
        </is>
      </c>
      <c r="N30" t="inlineStr">
        <is>
          <t>Sí</t>
        </is>
      </c>
      <c r="O30" t="inlineStr"/>
      <c r="P30" t="inlineStr"/>
      <c r="Q30" t="inlineStr"/>
      <c r="R30" t="inlineStr">
        <is>
          <t>2026-03-23</t>
        </is>
      </c>
      <c r="S30" t="inlineStr">
        <is>
          <t>2026-04-15</t>
        </is>
      </c>
      <c r="T30" t="inlineStr"/>
      <c r="U30" t="inlineStr"/>
      <c r="V30" t="inlineStr">
        <is>
          <t>No</t>
        </is>
      </c>
      <c r="W30" t="inlineStr"/>
      <c r="X30" t="inlineStr"/>
    </row>
    <row r="31">
      <c r="A31" t="inlineStr">
        <is>
          <t>TK-001</t>
        </is>
      </c>
      <c r="B31" t="inlineStr">
        <is>
          <t>TP-006</t>
        </is>
      </c>
      <c r="C31" t="inlineStr">
        <is>
          <t>Tarea</t>
        </is>
      </c>
      <c r="D31" t="n">
        <v>1</v>
      </c>
      <c r="E31" t="inlineStr">
        <is>
          <t>LM Core</t>
        </is>
      </c>
      <c r="F31" t="inlineStr">
        <is>
          <t>Migraciones</t>
        </is>
      </c>
      <c r="G31" t="inlineStr">
        <is>
          <t>Migración a Node 22</t>
        </is>
      </c>
      <c r="H31" t="inlineStr"/>
      <c r="I31" t="inlineStr">
        <is>
          <t>Migración a Node 22</t>
        </is>
      </c>
      <c r="J31" t="inlineStr">
        <is>
          <t>Guillermo</t>
        </is>
      </c>
      <c r="K31" t="inlineStr">
        <is>
          <t>Media</t>
        </is>
      </c>
      <c r="L31" t="inlineStr">
        <is>
          <t>Backlog</t>
        </is>
      </c>
      <c r="M31" t="inlineStr">
        <is>
          <t>No</t>
        </is>
      </c>
      <c r="N31" t="inlineStr">
        <is>
          <t>Sí</t>
        </is>
      </c>
      <c r="O31" t="inlineStr"/>
      <c r="P31" t="inlineStr"/>
      <c r="Q31" t="inlineStr"/>
      <c r="R31" t="inlineStr">
        <is>
          <t>2026-03-23</t>
        </is>
      </c>
      <c r="S31" t="inlineStr">
        <is>
          <t>2026-04-15</t>
        </is>
      </c>
      <c r="T31" t="inlineStr"/>
      <c r="U31" t="inlineStr"/>
      <c r="V31" t="inlineStr">
        <is>
          <t>No</t>
        </is>
      </c>
      <c r="W31" t="inlineStr"/>
      <c r="X31" t="inlineStr"/>
    </row>
    <row r="32">
      <c r="A32" t="inlineStr">
        <is>
          <t>TK-002</t>
        </is>
      </c>
      <c r="B32" t="inlineStr">
        <is>
          <t>TP-006</t>
        </is>
      </c>
      <c r="C32" t="inlineStr">
        <is>
          <t>Tarea</t>
        </is>
      </c>
      <c r="D32" t="n">
        <v>2</v>
      </c>
      <c r="E32" t="inlineStr">
        <is>
          <t>LM Core</t>
        </is>
      </c>
      <c r="F32" t="inlineStr">
        <is>
          <t>Migraciones</t>
        </is>
      </c>
      <c r="G32" t="inlineStr">
        <is>
          <t>Migración a Angular 19</t>
        </is>
      </c>
      <c r="H32" t="inlineStr"/>
      <c r="I32" t="inlineStr">
        <is>
          <t>Migración a Angular 19</t>
        </is>
      </c>
      <c r="J32" t="inlineStr">
        <is>
          <t>Guillermo</t>
        </is>
      </c>
      <c r="K32" t="inlineStr">
        <is>
          <t>Media</t>
        </is>
      </c>
      <c r="L32" t="inlineStr">
        <is>
          <t>Backlog</t>
        </is>
      </c>
      <c r="M32" t="inlineStr">
        <is>
          <t>No</t>
        </is>
      </c>
      <c r="N32" t="inlineStr">
        <is>
          <t>Sí</t>
        </is>
      </c>
      <c r="O32" t="inlineStr"/>
      <c r="P32" t="inlineStr"/>
      <c r="Q32" t="inlineStr"/>
      <c r="R32" t="inlineStr">
        <is>
          <t>2026-03-23</t>
        </is>
      </c>
      <c r="S32" t="inlineStr">
        <is>
          <t>2026-04-15</t>
        </is>
      </c>
      <c r="T32" t="inlineStr"/>
      <c r="U32" t="inlineStr"/>
      <c r="V32" t="inlineStr">
        <is>
          <t>No</t>
        </is>
      </c>
      <c r="W32" t="inlineStr"/>
      <c r="X32" t="inlineStr"/>
    </row>
    <row r="33">
      <c r="A33" t="inlineStr">
        <is>
          <t>TP-007</t>
        </is>
      </c>
      <c r="B33" t="inlineStr">
        <is>
          <t>EP-006</t>
        </is>
      </c>
      <c r="C33" t="inlineStr">
        <is>
          <t>Topic</t>
        </is>
      </c>
      <c r="D33" t="n">
        <v>1</v>
      </c>
      <c r="E33" t="inlineStr">
        <is>
          <t>Base de datos</t>
        </is>
      </c>
      <c r="F33" t="inlineStr">
        <is>
          <t>Vista estructura de informes</t>
        </is>
      </c>
      <c r="G33" t="inlineStr"/>
      <c r="H33" t="inlineStr"/>
      <c r="I33" t="inlineStr">
        <is>
          <t>Vista estructura de informes</t>
        </is>
      </c>
      <c r="J33" t="inlineStr">
        <is>
          <t>Diego</t>
        </is>
      </c>
      <c r="K33" t="inlineStr">
        <is>
          <t>Media</t>
        </is>
      </c>
      <c r="L33" t="inlineStr">
        <is>
          <t>Backlog</t>
        </is>
      </c>
      <c r="M33" t="inlineStr">
        <is>
          <t>No</t>
        </is>
      </c>
      <c r="N33" t="inlineStr">
        <is>
          <t>No</t>
        </is>
      </c>
      <c r="O33" t="inlineStr"/>
      <c r="P33" t="inlineStr"/>
      <c r="Q33" t="inlineStr"/>
      <c r="R33" t="inlineStr">
        <is>
          <t>2026-03-23</t>
        </is>
      </c>
      <c r="S33" t="inlineStr"/>
      <c r="T33" t="inlineStr"/>
      <c r="U33" t="inlineStr"/>
      <c r="V33" t="inlineStr">
        <is>
          <t>No</t>
        </is>
      </c>
      <c r="W33" t="inlineStr"/>
      <c r="X33" t="inlineStr"/>
    </row>
    <row r="34">
      <c r="A34" t="inlineStr">
        <is>
          <t>ST-017</t>
        </is>
      </c>
      <c r="B34" t="inlineStr">
        <is>
          <t>TP-007</t>
        </is>
      </c>
      <c r="C34" t="inlineStr">
        <is>
          <t>Subtarea</t>
        </is>
      </c>
      <c r="D34" t="n">
        <v>1</v>
      </c>
      <c r="E34" t="inlineStr">
        <is>
          <t>Base de datos</t>
        </is>
      </c>
      <c r="F34" t="inlineStr">
        <is>
          <t>Vista estructura de informes</t>
        </is>
      </c>
      <c r="G34" t="inlineStr"/>
      <c r="H34" t="inlineStr">
        <is>
          <t>Agregación tipo text</t>
        </is>
      </c>
      <c r="I34" t="inlineStr">
        <is>
          <t>Comentar si la agregación de tipo text se pone como max, listagg o first</t>
        </is>
      </c>
      <c r="J34" t="inlineStr">
        <is>
          <t>Diego</t>
        </is>
      </c>
      <c r="K34" t="inlineStr">
        <is>
          <t>Media</t>
        </is>
      </c>
      <c r="L34" t="inlineStr">
        <is>
          <t>Backlog</t>
        </is>
      </c>
      <c r="M34" t="inlineStr">
        <is>
          <t>No</t>
        </is>
      </c>
      <c r="N34" t="inlineStr">
        <is>
          <t>No</t>
        </is>
      </c>
      <c r="O34" t="inlineStr"/>
      <c r="P34" t="inlineStr"/>
      <c r="Q34" t="inlineStr"/>
      <c r="R34" t="inlineStr">
        <is>
          <t>2026-03-23</t>
        </is>
      </c>
      <c r="S34" t="inlineStr"/>
      <c r="T34" t="inlineStr"/>
      <c r="U34" t="inlineStr"/>
      <c r="V34" t="inlineStr">
        <is>
          <t>No</t>
        </is>
      </c>
      <c r="W34" t="inlineStr"/>
      <c r="X34" t="inlineStr">
        <is>
          <t>Duda abierta BD</t>
        </is>
      </c>
    </row>
    <row r="35">
      <c r="A35" t="inlineStr">
        <is>
          <t>TP-008</t>
        </is>
      </c>
      <c r="B35" t="inlineStr">
        <is>
          <t>EP-006</t>
        </is>
      </c>
      <c r="C35" t="inlineStr">
        <is>
          <t>Topic</t>
        </is>
      </c>
      <c r="D35" t="n">
        <v>2</v>
      </c>
      <c r="E35" t="inlineStr">
        <is>
          <t>Base de datos</t>
        </is>
      </c>
      <c r="F35" t="inlineStr">
        <is>
          <t>Vista ajustes regulatorios</t>
        </is>
      </c>
      <c r="G35" t="inlineStr"/>
      <c r="H35" t="inlineStr"/>
      <c r="I35" t="inlineStr">
        <is>
          <t>Vista de ajustes regulatorios</t>
        </is>
      </c>
      <c r="J35" t="inlineStr">
        <is>
          <t>Diego</t>
        </is>
      </c>
      <c r="K35" t="inlineStr">
        <is>
          <t>Alta</t>
        </is>
      </c>
      <c r="L35" t="inlineStr">
        <is>
          <t>Backlog</t>
        </is>
      </c>
      <c r="M35" t="inlineStr">
        <is>
          <t>No</t>
        </is>
      </c>
      <c r="N35" t="inlineStr">
        <is>
          <t>Sí</t>
        </is>
      </c>
      <c r="O35" t="inlineStr">
        <is>
          <t>R-2026.03.30</t>
        </is>
      </c>
      <c r="P35" t="inlineStr"/>
      <c r="Q35" t="inlineStr"/>
      <c r="R35" t="inlineStr">
        <is>
          <t>2026-03-23</t>
        </is>
      </c>
      <c r="S35" t="inlineStr">
        <is>
          <t>2026-03-30</t>
        </is>
      </c>
      <c r="T35" t="inlineStr"/>
      <c r="U35" t="inlineStr"/>
      <c r="V35" t="inlineStr">
        <is>
          <t>No</t>
        </is>
      </c>
      <c r="W35" t="inlineStr"/>
      <c r="X35" t="inlineStr"/>
    </row>
    <row r="36">
      <c r="A36" t="inlineStr">
        <is>
          <t>ST-018</t>
        </is>
      </c>
      <c r="B36" t="inlineStr">
        <is>
          <t>TP-008</t>
        </is>
      </c>
      <c r="C36" t="inlineStr">
        <is>
          <t>Subtarea</t>
        </is>
      </c>
      <c r="D36" t="n">
        <v>1</v>
      </c>
      <c r="E36" t="inlineStr">
        <is>
          <t>Base de datos</t>
        </is>
      </c>
      <c r="F36" t="inlineStr">
        <is>
          <t>Vista ajustes regulatorios</t>
        </is>
      </c>
      <c r="G36" t="inlineStr"/>
      <c r="H36" t="inlineStr">
        <is>
          <t>Certificar datos</t>
        </is>
      </c>
      <c r="I36" t="inlineStr">
        <is>
          <t>Certificar que los datos están correctos</t>
        </is>
      </c>
      <c r="J36" t="inlineStr">
        <is>
          <t>Diego</t>
        </is>
      </c>
      <c r="K36" t="inlineStr">
        <is>
          <t>Alta</t>
        </is>
      </c>
      <c r="L36" t="inlineStr">
        <is>
          <t>Backlog</t>
        </is>
      </c>
      <c r="M36" t="inlineStr">
        <is>
          <t>No</t>
        </is>
      </c>
      <c r="N36" t="inlineStr">
        <is>
          <t>Sí</t>
        </is>
      </c>
      <c r="O36" t="inlineStr">
        <is>
          <t>R-2026.03.30</t>
        </is>
      </c>
      <c r="P36" t="inlineStr"/>
      <c r="Q36" t="inlineStr"/>
      <c r="R36" t="inlineStr">
        <is>
          <t>2026-03-23</t>
        </is>
      </c>
      <c r="S36" t="inlineStr">
        <is>
          <t>2026-03-30</t>
        </is>
      </c>
      <c r="T36" t="inlineStr"/>
      <c r="U36" t="inlineStr"/>
      <c r="V36" t="inlineStr">
        <is>
          <t>No</t>
        </is>
      </c>
      <c r="W36" t="inlineStr"/>
      <c r="X36" t="inlineStr"/>
    </row>
    <row r="37">
      <c r="A37" t="inlineStr">
        <is>
          <t>ST-019</t>
        </is>
      </c>
      <c r="B37" t="inlineStr">
        <is>
          <t>TP-008</t>
        </is>
      </c>
      <c r="C37" t="inlineStr">
        <is>
          <t>Subtarea</t>
        </is>
      </c>
      <c r="D37" t="n">
        <v>2</v>
      </c>
      <c r="E37" t="inlineStr">
        <is>
          <t>Base de datos</t>
        </is>
      </c>
      <c r="F37" t="inlineStr">
        <is>
          <t>Vista ajustes regulatorios</t>
        </is>
      </c>
      <c r="G37" t="inlineStr"/>
      <c r="H37" t="inlineStr">
        <is>
          <t>Creación vista</t>
        </is>
      </c>
      <c r="I37" t="inlineStr">
        <is>
          <t>Creación de la vista</t>
        </is>
      </c>
      <c r="J37" t="inlineStr">
        <is>
          <t>Diego</t>
        </is>
      </c>
      <c r="K37" t="inlineStr">
        <is>
          <t>Alta</t>
        </is>
      </c>
      <c r="L37" t="inlineStr">
        <is>
          <t>Backlog</t>
        </is>
      </c>
      <c r="M37" t="inlineStr">
        <is>
          <t>No</t>
        </is>
      </c>
      <c r="N37" t="inlineStr">
        <is>
          <t>Sí</t>
        </is>
      </c>
      <c r="O37" t="inlineStr">
        <is>
          <t>R-2026.03.30</t>
        </is>
      </c>
      <c r="P37" t="inlineStr"/>
      <c r="Q37" t="inlineStr"/>
      <c r="R37" t="inlineStr">
        <is>
          <t>2026-03-23</t>
        </is>
      </c>
      <c r="S37" t="inlineStr">
        <is>
          <t>2026-03-30</t>
        </is>
      </c>
      <c r="T37" t="inlineStr"/>
      <c r="U37" t="inlineStr"/>
      <c r="V37" t="inlineStr">
        <is>
          <t>No</t>
        </is>
      </c>
      <c r="W37" t="inlineStr"/>
      <c r="X37" t="inlineStr"/>
    </row>
    <row r="38">
      <c r="A38" t="inlineStr">
        <is>
          <t>ST-020</t>
        </is>
      </c>
      <c r="B38" t="inlineStr">
        <is>
          <t>TP-008</t>
        </is>
      </c>
      <c r="C38" t="inlineStr">
        <is>
          <t>Subtarea</t>
        </is>
      </c>
      <c r="D38" t="n">
        <v>3</v>
      </c>
      <c r="E38" t="inlineStr">
        <is>
          <t>Base de datos</t>
        </is>
      </c>
      <c r="F38" t="inlineStr">
        <is>
          <t>Vista ajustes regulatorios</t>
        </is>
      </c>
      <c r="G38" t="inlineStr"/>
      <c r="H38" t="inlineStr">
        <is>
          <t>GoPortal a 3 entornos</t>
        </is>
      </c>
      <c r="I38" t="inlineStr">
        <is>
          <t>Mandar GoPortal a los tres entornos y certificar que se han subido los datos</t>
        </is>
      </c>
      <c r="J38" t="inlineStr">
        <is>
          <t>Diego</t>
        </is>
      </c>
      <c r="K38" t="inlineStr">
        <is>
          <t>Alta</t>
        </is>
      </c>
      <c r="L38" t="inlineStr">
        <is>
          <t>Backlog</t>
        </is>
      </c>
      <c r="M38" t="inlineStr">
        <is>
          <t>No</t>
        </is>
      </c>
      <c r="N38" t="inlineStr">
        <is>
          <t>Sí</t>
        </is>
      </c>
      <c r="O38" t="inlineStr">
        <is>
          <t>R-2026.03.30</t>
        </is>
      </c>
      <c r="P38" t="inlineStr"/>
      <c r="Q38" t="inlineStr"/>
      <c r="R38" t="inlineStr">
        <is>
          <t>2026-03-23</t>
        </is>
      </c>
      <c r="S38" t="inlineStr">
        <is>
          <t>2026-03-30</t>
        </is>
      </c>
      <c r="T38" t="inlineStr"/>
      <c r="U38" t="inlineStr"/>
      <c r="V38" t="inlineStr">
        <is>
          <t>No</t>
        </is>
      </c>
      <c r="W38" t="inlineStr">
        <is>
          <t>ST-018,ST-019</t>
        </is>
      </c>
      <c r="X38" t="inlineStr"/>
    </row>
    <row r="39">
      <c r="A39" t="inlineStr">
        <is>
          <t>TP-009</t>
        </is>
      </c>
      <c r="B39" t="inlineStr">
        <is>
          <t>EP-007</t>
        </is>
      </c>
      <c r="C39" t="inlineStr">
        <is>
          <t>Topic</t>
        </is>
      </c>
      <c r="D39" t="n">
        <v>1</v>
      </c>
      <c r="E39" t="inlineStr">
        <is>
          <t>Traducciones</t>
        </is>
      </c>
      <c r="F39" t="inlineStr">
        <is>
          <t>Traducciones</t>
        </is>
      </c>
      <c r="G39" t="inlineStr"/>
      <c r="H39" t="inlineStr"/>
      <c r="I39" t="inlineStr">
        <is>
          <t>Traducciones backlog</t>
        </is>
      </c>
      <c r="J39" t="inlineStr">
        <is>
          <t>Luis</t>
        </is>
      </c>
      <c r="K39" t="inlineStr">
        <is>
          <t>Baja</t>
        </is>
      </c>
      <c r="L39" t="inlineStr">
        <is>
          <t>Backlog</t>
        </is>
      </c>
      <c r="M39" t="inlineStr">
        <is>
          <t>No</t>
        </is>
      </c>
      <c r="N39" t="inlineStr">
        <is>
          <t>Sí</t>
        </is>
      </c>
      <c r="O39" t="inlineStr"/>
      <c r="P39" t="inlineStr"/>
      <c r="Q39" t="inlineStr"/>
      <c r="R39" t="inlineStr">
        <is>
          <t>2026-03-23</t>
        </is>
      </c>
      <c r="S39" t="inlineStr"/>
      <c r="T39" t="inlineStr"/>
      <c r="U39" t="inlineStr"/>
      <c r="V39" t="inlineStr">
        <is>
          <t>No</t>
        </is>
      </c>
      <c r="W39" t="inlineStr"/>
      <c r="X39" t="inlineStr"/>
    </row>
    <row r="40">
      <c r="A40" t="inlineStr">
        <is>
          <t>ST-021</t>
        </is>
      </c>
      <c r="B40" t="inlineStr">
        <is>
          <t>TP-009</t>
        </is>
      </c>
      <c r="C40" t="inlineStr">
        <is>
          <t>Subtarea</t>
        </is>
      </c>
      <c r="D40" t="n">
        <v>1</v>
      </c>
      <c r="E40" t="inlineStr">
        <is>
          <t>Traducciones</t>
        </is>
      </c>
      <c r="F40" t="inlineStr">
        <is>
          <t>Traducciones</t>
        </is>
      </c>
      <c r="G40" t="inlineStr"/>
      <c r="H40" t="inlineStr">
        <is>
          <t>Fix null vs 'null'</t>
        </is>
      </c>
      <c r="I40" t="inlineStr">
        <is>
          <t>Fix de que se inserta null/'null'/vacío/espacio en el formulario de BD</t>
        </is>
      </c>
      <c r="J40" t="inlineStr">
        <is>
          <t>Luis</t>
        </is>
      </c>
      <c r="K40" t="inlineStr">
        <is>
          <t>Baja</t>
        </is>
      </c>
      <c r="L40" t="inlineStr">
        <is>
          <t>Backlog</t>
        </is>
      </c>
      <c r="M40" t="inlineStr">
        <is>
          <t>No</t>
        </is>
      </c>
      <c r="N40" t="inlineStr">
        <is>
          <t>Sí</t>
        </is>
      </c>
      <c r="O40" t="inlineStr"/>
      <c r="P40" t="inlineStr"/>
      <c r="Q40" t="inlineStr"/>
      <c r="R40" t="inlineStr">
        <is>
          <t>2026-03-23</t>
        </is>
      </c>
      <c r="S40" t="inlineStr"/>
      <c r="T40" t="inlineStr"/>
      <c r="U40" t="inlineStr"/>
      <c r="V40" t="inlineStr">
        <is>
          <t>No</t>
        </is>
      </c>
      <c r="W40" t="inlineStr"/>
      <c r="X40" t="inlineStr">
        <is>
          <t>No prioritaria</t>
        </is>
      </c>
    </row>
    <row r="41">
      <c r="A41" t="inlineStr">
        <is>
          <t>ST-022</t>
        </is>
      </c>
      <c r="B41" t="inlineStr">
        <is>
          <t>TP-009</t>
        </is>
      </c>
      <c r="C41" t="inlineStr">
        <is>
          <t>Subtarea</t>
        </is>
      </c>
      <c r="D41" t="n">
        <v>2</v>
      </c>
      <c r="E41" t="inlineStr">
        <is>
          <t>Traducciones</t>
        </is>
      </c>
      <c r="F41" t="inlineStr">
        <is>
          <t>Traducciones</t>
        </is>
      </c>
      <c r="G41" t="inlineStr"/>
      <c r="H41" t="inlineStr">
        <is>
          <t>Vista global con cruce</t>
        </is>
      </c>
      <c r="I41" t="inlineStr">
        <is>
          <t>Propuesta de cambiar validaciones a vista global con cruce fila-columna para traducciones dobles</t>
        </is>
      </c>
      <c r="J41" t="inlineStr">
        <is>
          <t>Luis</t>
        </is>
      </c>
      <c r="K41" t="inlineStr">
        <is>
          <t>Baja</t>
        </is>
      </c>
      <c r="L41" t="inlineStr">
        <is>
          <t>Backlog</t>
        </is>
      </c>
      <c r="M41" t="inlineStr">
        <is>
          <t>No</t>
        </is>
      </c>
      <c r="N41" t="inlineStr">
        <is>
          <t>Sí</t>
        </is>
      </c>
      <c r="O41" t="inlineStr"/>
      <c r="P41" t="inlineStr"/>
      <c r="Q41" t="inlineStr"/>
      <c r="R41" t="inlineStr">
        <is>
          <t>2026-03-23</t>
        </is>
      </c>
      <c r="S41" t="inlineStr"/>
      <c r="T41" t="inlineStr"/>
      <c r="U41" t="inlineStr"/>
      <c r="V41" t="inlineStr">
        <is>
          <t>No</t>
        </is>
      </c>
      <c r="W41" t="inlineStr"/>
      <c r="X41" t="inlineStr">
        <is>
          <t>Pertenece a Luis</t>
        </is>
      </c>
    </row>
    <row r="42">
      <c r="A42" t="inlineStr">
        <is>
          <t>TP-010</t>
        </is>
      </c>
      <c r="B42" t="inlineStr">
        <is>
          <t>EP-005</t>
        </is>
      </c>
      <c r="C42" t="inlineStr">
        <is>
          <t>Topic</t>
        </is>
      </c>
      <c r="D42" t="n">
        <v>1</v>
      </c>
      <c r="E42" t="inlineStr">
        <is>
          <t>Scripts de datos</t>
        </is>
      </c>
      <c r="F42" t="inlineStr">
        <is>
          <t>Scripts prioritarios 30 marzo</t>
        </is>
      </c>
      <c r="G42" t="inlineStr"/>
      <c r="H42" t="inlineStr"/>
      <c r="I42" t="inlineStr">
        <is>
          <t>Scripts prioritarios 30 marzo</t>
        </is>
      </c>
      <c r="J42" t="inlineStr">
        <is>
          <t>Luis</t>
        </is>
      </c>
      <c r="K42" t="inlineStr">
        <is>
          <t>Alta</t>
        </is>
      </c>
      <c r="L42" t="inlineStr">
        <is>
          <t>Lista para release</t>
        </is>
      </c>
      <c r="M42" t="inlineStr">
        <is>
          <t>Sí</t>
        </is>
      </c>
      <c r="N42" t="inlineStr">
        <is>
          <t>Sí</t>
        </is>
      </c>
      <c r="O42" t="inlineStr">
        <is>
          <t>R-2026.03.30</t>
        </is>
      </c>
      <c r="P42" t="inlineStr">
        <is>
          <t>PRE-2026.03.24</t>
        </is>
      </c>
      <c r="Q42" t="inlineStr"/>
      <c r="R42" t="inlineStr">
        <is>
          <t>2026-03-23</t>
        </is>
      </c>
      <c r="S42" t="inlineStr">
        <is>
          <t>2026-03-30</t>
        </is>
      </c>
      <c r="T42" t="inlineStr">
        <is>
          <t>2026-03-23</t>
        </is>
      </c>
      <c r="U42" t="inlineStr"/>
      <c r="V42" t="inlineStr">
        <is>
          <t>No</t>
        </is>
      </c>
      <c r="W42" t="inlineStr"/>
      <c r="X42" t="inlineStr"/>
    </row>
    <row r="43">
      <c r="A43" t="inlineStr">
        <is>
          <t>ST-023</t>
        </is>
      </c>
      <c r="B43" t="inlineStr">
        <is>
          <t>TP-010</t>
        </is>
      </c>
      <c r="C43" t="inlineStr">
        <is>
          <t>Subtarea</t>
        </is>
      </c>
      <c r="D43" t="n">
        <v>1</v>
      </c>
      <c r="E43" t="inlineStr">
        <is>
          <t>Scripts de datos</t>
        </is>
      </c>
      <c r="F43" t="inlineStr">
        <is>
          <t>Scripts prioritarios 30 marzo</t>
        </is>
      </c>
      <c r="G43" t="inlineStr"/>
      <c r="H43" t="inlineStr">
        <is>
          <t>Script traducciones</t>
        </is>
      </c>
      <c r="I43" t="inlineStr">
        <is>
          <t>Script de traducciones no incluido en la release anterior; incluir para el 30 de marzo y hacer seguimiento</t>
        </is>
      </c>
      <c r="J43" t="inlineStr">
        <is>
          <t>Luis</t>
        </is>
      </c>
      <c r="K43" t="inlineStr">
        <is>
          <t>Alta</t>
        </is>
      </c>
      <c r="L43" t="inlineStr">
        <is>
          <t>Lista para release</t>
        </is>
      </c>
      <c r="M43" t="inlineStr">
        <is>
          <t>Sí</t>
        </is>
      </c>
      <c r="N43" t="inlineStr">
        <is>
          <t>Sí</t>
        </is>
      </c>
      <c r="O43" t="inlineStr">
        <is>
          <t>R-2026.03.30</t>
        </is>
      </c>
      <c r="P43" t="inlineStr">
        <is>
          <t>PRE-2026.03.24</t>
        </is>
      </c>
      <c r="Q43" t="inlineStr"/>
      <c r="R43" t="inlineStr">
        <is>
          <t>2026-03-23</t>
        </is>
      </c>
      <c r="S43" t="inlineStr">
        <is>
          <t>2026-03-30</t>
        </is>
      </c>
      <c r="T43" t="inlineStr">
        <is>
          <t>2026-03-23</t>
        </is>
      </c>
      <c r="U43" t="inlineStr"/>
      <c r="V43" t="inlineStr">
        <is>
          <t>No</t>
        </is>
      </c>
      <c r="W43" t="inlineStr"/>
      <c r="X43" t="inlineStr">
        <is>
          <t>Pendiente despliegue</t>
        </is>
      </c>
    </row>
    <row r="44">
      <c r="A44" t="inlineStr">
        <is>
          <t>ST-024</t>
        </is>
      </c>
      <c r="B44" t="inlineStr">
        <is>
          <t>TP-010</t>
        </is>
      </c>
      <c r="C44" t="inlineStr">
        <is>
          <t>Subtarea</t>
        </is>
      </c>
      <c r="D44" t="n">
        <v>2</v>
      </c>
      <c r="E44" t="inlineStr">
        <is>
          <t>Scripts de datos</t>
        </is>
      </c>
      <c r="F44" t="inlineStr">
        <is>
          <t>Scripts prioritarios 30 marzo</t>
        </is>
      </c>
      <c r="G44" t="inlineStr"/>
      <c r="H44" t="inlineStr">
        <is>
          <t>Borrado reporting + taxonomías</t>
        </is>
      </c>
      <c r="I44" t="inlineStr">
        <is>
          <t>Script de borrado de reporting más taxonomías. Incluir en script del 30</t>
        </is>
      </c>
      <c r="J44" t="inlineStr">
        <is>
          <t>Luis</t>
        </is>
      </c>
      <c r="K44" t="inlineStr">
        <is>
          <t>Alta</t>
        </is>
      </c>
      <c r="L44" t="inlineStr">
        <is>
          <t>Lista para release</t>
        </is>
      </c>
      <c r="M44" t="inlineStr">
        <is>
          <t>Sí</t>
        </is>
      </c>
      <c r="N44" t="inlineStr">
        <is>
          <t>Sí</t>
        </is>
      </c>
      <c r="O44" t="inlineStr">
        <is>
          <t>R-2026.03.30</t>
        </is>
      </c>
      <c r="P44" t="inlineStr">
        <is>
          <t>PRE-2026.03.24</t>
        </is>
      </c>
      <c r="Q44" t="inlineStr"/>
      <c r="R44" t="inlineStr">
        <is>
          <t>2026-03-23</t>
        </is>
      </c>
      <c r="S44" t="inlineStr">
        <is>
          <t>2026-03-30</t>
        </is>
      </c>
      <c r="T44" t="inlineStr">
        <is>
          <t>2026-03-23</t>
        </is>
      </c>
      <c r="U44" t="inlineStr"/>
      <c r="V44" t="inlineStr">
        <is>
          <t>No</t>
        </is>
      </c>
      <c r="W44" t="inlineStr"/>
      <c r="X44" t="inlineStr">
        <is>
          <t>Pendiente despliegue</t>
        </is>
      </c>
    </row>
    <row r="45">
      <c r="A45" t="inlineStr">
        <is>
          <t>ST-025</t>
        </is>
      </c>
      <c r="B45" t="inlineStr">
        <is>
          <t>TP-010</t>
        </is>
      </c>
      <c r="C45" t="inlineStr">
        <is>
          <t>Subtarea</t>
        </is>
      </c>
      <c r="D45" t="n">
        <v>3</v>
      </c>
      <c r="E45" t="inlineStr">
        <is>
          <t>Scripts de datos</t>
        </is>
      </c>
      <c r="F45" t="inlineStr">
        <is>
          <t>Scripts prioritarios 30 marzo</t>
        </is>
      </c>
      <c r="G45" t="inlineStr"/>
      <c r="H45" t="inlineStr">
        <is>
          <t>Release scripts</t>
        </is>
      </c>
      <c r="I45" t="inlineStr">
        <is>
          <t>Habría que hacer esa release que no está hecha</t>
        </is>
      </c>
      <c r="J45" t="inlineStr">
        <is>
          <t>Luis</t>
        </is>
      </c>
      <c r="K45" t="inlineStr">
        <is>
          <t>Alta</t>
        </is>
      </c>
      <c r="L45" t="inlineStr">
        <is>
          <t>Backlog</t>
        </is>
      </c>
      <c r="M45" t="inlineStr">
        <is>
          <t>No</t>
        </is>
      </c>
      <c r="N45" t="inlineStr">
        <is>
          <t>Sí</t>
        </is>
      </c>
      <c r="O45" t="inlineStr">
        <is>
          <t>R-2026.03.30</t>
        </is>
      </c>
      <c r="P45" t="inlineStr"/>
      <c r="Q45" t="inlineStr"/>
      <c r="R45" t="inlineStr">
        <is>
          <t>2026-03-23</t>
        </is>
      </c>
      <c r="S45" t="inlineStr">
        <is>
          <t>2026-03-30</t>
        </is>
      </c>
      <c r="T45" t="inlineStr"/>
      <c r="U45" t="inlineStr"/>
      <c r="V45" t="inlineStr">
        <is>
          <t>No</t>
        </is>
      </c>
      <c r="W45" t="inlineStr">
        <is>
          <t>ST-023,ST-024</t>
        </is>
      </c>
      <c r="X45" t="inlineStr"/>
    </row>
    <row r="46">
      <c r="A46" t="inlineStr">
        <is>
          <t>TP-011</t>
        </is>
      </c>
      <c r="B46" t="inlineStr">
        <is>
          <t>EP-003</t>
        </is>
      </c>
      <c r="C46" t="inlineStr">
        <is>
          <t>Topic</t>
        </is>
      </c>
      <c r="D46" t="n">
        <v>2</v>
      </c>
      <c r="E46" t="inlineStr">
        <is>
          <t>Fix</t>
        </is>
      </c>
      <c r="F46" t="inlineStr">
        <is>
          <t>Correctivos de queries</t>
        </is>
      </c>
      <c r="G46" t="inlineStr"/>
      <c r="H46" t="inlineStr"/>
      <c r="I46" t="inlineStr">
        <is>
          <t>Correctivos de queries</t>
        </is>
      </c>
      <c r="J46" t="inlineStr">
        <is>
          <t>Luis</t>
        </is>
      </c>
      <c r="K46" t="inlineStr">
        <is>
          <t>Alta</t>
        </is>
      </c>
      <c r="L46" t="inlineStr">
        <is>
          <t>Backlog</t>
        </is>
      </c>
      <c r="M46" t="inlineStr">
        <is>
          <t>No</t>
        </is>
      </c>
      <c r="N46" t="inlineStr">
        <is>
          <t>Sí</t>
        </is>
      </c>
      <c r="O46" t="inlineStr">
        <is>
          <t>R-2026.03.30</t>
        </is>
      </c>
      <c r="P46" t="inlineStr"/>
      <c r="Q46" t="inlineStr"/>
      <c r="R46" t="inlineStr">
        <is>
          <t>2026-03-23</t>
        </is>
      </c>
      <c r="S46" t="inlineStr">
        <is>
          <t>2026-03-30</t>
        </is>
      </c>
      <c r="T46" t="inlineStr"/>
      <c r="U46" t="inlineStr"/>
      <c r="V46" t="inlineStr">
        <is>
          <t>No</t>
        </is>
      </c>
      <c r="W46" t="inlineStr"/>
      <c r="X46" t="inlineStr"/>
    </row>
    <row r="47">
      <c r="A47" t="inlineStr">
        <is>
          <t>ST-026</t>
        </is>
      </c>
      <c r="B47" t="inlineStr">
        <is>
          <t>TP-011</t>
        </is>
      </c>
      <c r="C47" t="inlineStr">
        <is>
          <t>Subtarea</t>
        </is>
      </c>
      <c r="D47" t="n">
        <v>1</v>
      </c>
      <c r="E47" t="inlineStr">
        <is>
          <t>Fix</t>
        </is>
      </c>
      <c r="F47" t="inlineStr">
        <is>
          <t>Correctivos de queries</t>
        </is>
      </c>
      <c r="G47" t="inlineStr"/>
      <c r="H47" t="inlineStr">
        <is>
          <t>FC201 Custom View</t>
        </is>
      </c>
      <c r="I47" t="inlineStr">
        <is>
          <t>FC201 con Custom View</t>
        </is>
      </c>
      <c r="J47" t="inlineStr">
        <is>
          <t>Luis</t>
        </is>
      </c>
      <c r="K47" t="inlineStr">
        <is>
          <t>Alta</t>
        </is>
      </c>
      <c r="L47" t="inlineStr">
        <is>
          <t>Backlog</t>
        </is>
      </c>
      <c r="M47" t="inlineStr">
        <is>
          <t>No</t>
        </is>
      </c>
      <c r="N47" t="inlineStr">
        <is>
          <t>Sí</t>
        </is>
      </c>
      <c r="O47" t="inlineStr">
        <is>
          <t>R-2026.03.30</t>
        </is>
      </c>
      <c r="P47" t="inlineStr"/>
      <c r="Q47" t="inlineStr"/>
      <c r="R47" t="inlineStr">
        <is>
          <t>2026-03-23</t>
        </is>
      </c>
      <c r="S47" t="inlineStr">
        <is>
          <t>2026-03-30</t>
        </is>
      </c>
      <c r="T47" t="inlineStr"/>
      <c r="U47" t="inlineStr"/>
      <c r="V47" t="inlineStr">
        <is>
          <t>No</t>
        </is>
      </c>
      <c r="W47" t="inlineStr"/>
      <c r="X47" t="inlineStr"/>
    </row>
    <row r="48">
      <c r="A48" t="inlineStr">
        <is>
          <t>ST-027</t>
        </is>
      </c>
      <c r="B48" t="inlineStr">
        <is>
          <t>TP-011</t>
        </is>
      </c>
      <c r="C48" t="inlineStr">
        <is>
          <t>Subtarea</t>
        </is>
      </c>
      <c r="D48" t="n">
        <v>2</v>
      </c>
      <c r="E48" t="inlineStr">
        <is>
          <t>Fix</t>
        </is>
      </c>
      <c r="F48" t="inlineStr">
        <is>
          <t>Correctivos de queries</t>
        </is>
      </c>
      <c r="G48" t="inlineStr"/>
      <c r="H48" t="inlineStr">
        <is>
          <t>Internal Sync Corep</t>
        </is>
      </c>
      <c r="I48" t="inlineStr">
        <is>
          <t>Internal sync corep para resolver la query de Corep</t>
        </is>
      </c>
      <c r="J48" t="inlineStr">
        <is>
          <t>Luis</t>
        </is>
      </c>
      <c r="K48" t="inlineStr">
        <is>
          <t>Alta</t>
        </is>
      </c>
      <c r="L48" t="inlineStr">
        <is>
          <t>Backlog</t>
        </is>
      </c>
      <c r="M48" t="inlineStr">
        <is>
          <t>No</t>
        </is>
      </c>
      <c r="N48" t="inlineStr">
        <is>
          <t>Sí</t>
        </is>
      </c>
      <c r="O48" t="inlineStr">
        <is>
          <t>R-2026.03.30</t>
        </is>
      </c>
      <c r="P48" t="inlineStr"/>
      <c r="Q48" t="inlineStr"/>
      <c r="R48" t="inlineStr">
        <is>
          <t>2026-03-23</t>
        </is>
      </c>
      <c r="S48" t="inlineStr">
        <is>
          <t>2026-03-30</t>
        </is>
      </c>
      <c r="T48" t="inlineStr"/>
      <c r="U48" t="inlineStr"/>
      <c r="V48" t="inlineStr">
        <is>
          <t>No</t>
        </is>
      </c>
      <c r="W48" t="inlineStr"/>
      <c r="X48" t="inlineStr"/>
    </row>
    <row r="49">
      <c r="A49" t="inlineStr">
        <is>
          <t>TP-012</t>
        </is>
      </c>
      <c r="B49" t="inlineStr">
        <is>
          <t>EP-004</t>
        </is>
      </c>
      <c r="C49" t="inlineStr">
        <is>
          <t>Topic</t>
        </is>
      </c>
      <c r="D49" t="n">
        <v>1</v>
      </c>
      <c r="E49" t="inlineStr">
        <is>
          <t>Release/Despliegues</t>
        </is>
      </c>
      <c r="F49" t="inlineStr">
        <is>
          <t>Plan de pruebas release 23/24 marzo PRE</t>
        </is>
      </c>
      <c r="G49" t="inlineStr"/>
      <c r="H49" t="inlineStr"/>
      <c r="I49" t="inlineStr">
        <is>
          <t>Plan de pruebas release última del 23/24 marzo a PRE</t>
        </is>
      </c>
      <c r="J49" t="inlineStr">
        <is>
          <t>Luis</t>
        </is>
      </c>
      <c r="K49" t="inlineStr">
        <is>
          <t>Alta</t>
        </is>
      </c>
      <c r="L49" t="inlineStr">
        <is>
          <t>En curso</t>
        </is>
      </c>
      <c r="M49" t="inlineStr">
        <is>
          <t>Sí</t>
        </is>
      </c>
      <c r="N49" t="inlineStr">
        <is>
          <t>Sí</t>
        </is>
      </c>
      <c r="O49" t="inlineStr">
        <is>
          <t>R-2026.03.24</t>
        </is>
      </c>
      <c r="P49" t="inlineStr">
        <is>
          <t>PRE-2026.03.24</t>
        </is>
      </c>
      <c r="Q49" t="inlineStr"/>
      <c r="R49" t="inlineStr">
        <is>
          <t>2026-03-23</t>
        </is>
      </c>
      <c r="S49" t="inlineStr">
        <is>
          <t>2026-03-24</t>
        </is>
      </c>
      <c r="T49" t="inlineStr">
        <is>
          <t>2026-03-23</t>
        </is>
      </c>
      <c r="U49" t="inlineStr"/>
      <c r="V49" t="inlineStr">
        <is>
          <t>No</t>
        </is>
      </c>
      <c r="W49" t="inlineStr"/>
      <c r="X49" t="inlineStr">
        <is>
          <t>Pertenece a Luis</t>
        </is>
      </c>
    </row>
    <row r="50">
      <c r="A50" t="inlineStr">
        <is>
          <t>ST-028</t>
        </is>
      </c>
      <c r="B50" t="inlineStr">
        <is>
          <t>TP-012</t>
        </is>
      </c>
      <c r="C50" t="inlineStr">
        <is>
          <t>Subtarea</t>
        </is>
      </c>
      <c r="D50" t="n">
        <v>1</v>
      </c>
      <c r="E50" t="inlineStr">
        <is>
          <t>Release/Despliegues</t>
        </is>
      </c>
      <c r="F50" t="inlineStr">
        <is>
          <t>Plan de pruebas release 23/24 marzo PRE</t>
        </is>
      </c>
      <c r="G50" t="inlineStr"/>
      <c r="H50" t="inlineStr">
        <is>
          <t>Probar release</t>
        </is>
      </c>
      <c r="I50" t="inlineStr">
        <is>
          <t>Probar la release en PRE</t>
        </is>
      </c>
      <c r="J50" t="inlineStr">
        <is>
          <t>Luis</t>
        </is>
      </c>
      <c r="K50" t="inlineStr">
        <is>
          <t>Alta</t>
        </is>
      </c>
      <c r="L50" t="inlineStr">
        <is>
          <t>En curso</t>
        </is>
      </c>
      <c r="M50" t="inlineStr">
        <is>
          <t>Sí</t>
        </is>
      </c>
      <c r="N50" t="inlineStr">
        <is>
          <t>Sí</t>
        </is>
      </c>
      <c r="O50" t="inlineStr">
        <is>
          <t>R-2026.03.24</t>
        </is>
      </c>
      <c r="P50" t="inlineStr">
        <is>
          <t>PRE-2026.03.24</t>
        </is>
      </c>
      <c r="Q50" t="inlineStr"/>
      <c r="R50" t="inlineStr">
        <is>
          <t>2026-03-23</t>
        </is>
      </c>
      <c r="S50" t="inlineStr">
        <is>
          <t>2026-03-24</t>
        </is>
      </c>
      <c r="T50" t="inlineStr">
        <is>
          <t>2026-03-23</t>
        </is>
      </c>
      <c r="U50" t="inlineStr"/>
      <c r="V50" t="inlineStr">
        <is>
          <t>No</t>
        </is>
      </c>
      <c r="W50" t="inlineStr"/>
      <c r="X50" t="inlineStr"/>
    </row>
  </sheetData>
  <conditionalFormatting sqref="M2:X550">
    <cfRule type="expression" priority="1" dxfId="0">
      <formula>$M2="Sí"</formula>
    </cfRule>
  </conditionalFormatting>
  <conditionalFormatting sqref="N2:N550">
    <cfRule type="expression" priority="2" dxfId="1">
      <formula>$N2="No"</formula>
    </cfRule>
  </conditionalFormatting>
  <conditionalFormatting sqref="L2:L550">
    <cfRule type="expression" priority="3" dxfId="2">
      <formula>$L2="Completada"</formula>
    </cfRule>
  </conditionalFormatting>
  <conditionalFormatting sqref="V2:V550">
    <cfRule type="expression" priority="4" dxfId="3">
      <formula>$V2="Sí"</formula>
    </cfRule>
  </conditionalFormatting>
  <dataValidations count="6">
    <dataValidation sqref="J2:J250" showDropDown="0" showInputMessage="0" showErrorMessage="0" allowBlank="1" type="list">
      <formula1>=Parametros!$A$2:$A$6</formula1>
    </dataValidation>
    <dataValidation sqref="E2:E250" showDropDown="0" showInputMessage="0" showErrorMessage="0" allowBlank="1" type="list">
      <formula1>=Parametros!$B$2:$B$8</formula1>
    </dataValidation>
    <dataValidation sqref="L2:L250" showDropDown="0" showInputMessage="0" showErrorMessage="0" allowBlank="1" type="list">
      <formula1>=Parametros!$C$2:$C$12</formula1>
    </dataValidation>
    <dataValidation sqref="K2:K250" showDropDown="0" showInputMessage="0" showErrorMessage="0" allowBlank="1" type="list">
      <formula1>=Parametros!$D$2:$D$4</formula1>
    </dataValidation>
    <dataValidation sqref="C2:C250" showDropDown="0" showInputMessage="0" showErrorMessage="0" allowBlank="1" type="list">
      <formula1>=Parametros!$E$2:$E$5</formula1>
    </dataValidation>
    <dataValidation sqref="M2:N250" showDropDown="0" showInputMessage="0" showErrorMessage="0" allowBlank="1" type="list">
      <formula1>=Parametros!$F$2:$F$3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8" customWidth="1" min="4" max="4"/>
    <col width="18" customWidth="1" min="5" max="5"/>
    <col width="20" customWidth="1" min="6" max="6"/>
    <col width="28" customWidth="1" min="7" max="7"/>
    <col width="30" customWidth="1" min="8" max="8"/>
    <col width="45" customWidth="1" min="9" max="9"/>
    <col width="14" customWidth="1" min="10" max="10"/>
    <col width="10" customWidth="1" min="11" max="11"/>
    <col width="18" customWidth="1" min="12" max="12"/>
    <col width="12" customWidth="1" min="13" max="13"/>
    <col width="14" customWidth="1" min="14" max="14"/>
    <col width="18" customWidth="1" min="15" max="15"/>
    <col width="14" customWidth="1" min="16" max="16"/>
    <col width="14" customWidth="1" min="17" max="17"/>
    <col width="12" customWidth="1" min="18" max="18"/>
    <col width="14" customWidth="1" min="19" max="19"/>
    <col width="12" customWidth="1" min="20" max="20"/>
    <col width="12" customWidth="1" min="21" max="21"/>
    <col width="12" customWidth="1" min="22" max="22"/>
    <col width="20" customWidth="1" min="23" max="23"/>
    <col width="36" customWidth="1" min="24" max="24"/>
  </cols>
  <sheetData>
    <row r="1">
      <c r="A1" s="6" t="inlineStr">
        <is>
          <t>Seguimiento operativo</t>
        </is>
      </c>
    </row>
    <row r="2"/>
    <row r="3">
      <c r="A3" t="inlineStr">
        <is>
          <t>Nota</t>
        </is>
      </c>
      <c r="B3" t="inlineStr">
        <is>
          <t>Esta hoja está preparada para ser regenerada por macro desde Backlog. Mientras no se importe el módulo VBA, actúa como vista operativa manual.</t>
        </is>
      </c>
    </row>
    <row r="4"/>
    <row r="5">
      <c r="A5" s="4" t="inlineStr">
        <is>
          <t>ID</t>
        </is>
      </c>
      <c r="B5" s="4" t="inlineStr">
        <is>
          <t>Parent_ID</t>
        </is>
      </c>
      <c r="C5" s="4" t="inlineStr">
        <is>
          <t>Nivel</t>
        </is>
      </c>
      <c r="D5" s="4" t="inlineStr">
        <is>
          <t>Orden</t>
        </is>
      </c>
      <c r="E5" s="4" t="inlineStr">
        <is>
          <t>Epic</t>
        </is>
      </c>
      <c r="F5" s="4" t="inlineStr">
        <is>
          <t>Topic</t>
        </is>
      </c>
      <c r="G5" s="4" t="inlineStr">
        <is>
          <t>Tarea</t>
        </is>
      </c>
      <c r="H5" s="4" t="inlineStr">
        <is>
          <t>Subtarea</t>
        </is>
      </c>
      <c r="I5" s="4" t="inlineStr">
        <is>
          <t>Resumen</t>
        </is>
      </c>
      <c r="J5" s="4" t="inlineStr">
        <is>
          <t>Responsable</t>
        </is>
      </c>
      <c r="K5" s="4" t="inlineStr">
        <is>
          <t>Prioridad</t>
        </is>
      </c>
      <c r="L5" s="4" t="inlineStr">
        <is>
          <t>Estado</t>
        </is>
      </c>
      <c r="M5" s="4" t="inlineStr">
        <is>
          <t>Seguimiento</t>
        </is>
      </c>
      <c r="N5" s="4" t="inlineStr">
        <is>
          <t>Definición_OK</t>
        </is>
      </c>
      <c r="O5" s="4" t="inlineStr">
        <is>
          <t>Release_Target</t>
        </is>
      </c>
      <c r="P5" s="4" t="inlineStr">
        <is>
          <t>Pre_Version</t>
        </is>
      </c>
      <c r="Q5" s="4" t="inlineStr">
        <is>
          <t>Pro_Version</t>
        </is>
      </c>
      <c r="R5" s="4" t="inlineStr">
        <is>
          <t>Fecha_Alta</t>
        </is>
      </c>
      <c r="S5" s="4" t="inlineStr">
        <is>
          <t>Fecha_Objetivo</t>
        </is>
      </c>
      <c r="T5" s="4" t="inlineStr">
        <is>
          <t>Fecha_Inicio</t>
        </is>
      </c>
      <c r="U5" s="4" t="inlineStr">
        <is>
          <t>Fecha_Fin</t>
        </is>
      </c>
      <c r="V5" s="4" t="inlineStr">
        <is>
          <t>Bloqueada</t>
        </is>
      </c>
      <c r="W5" s="4" t="inlineStr">
        <is>
          <t>Dependencias</t>
        </is>
      </c>
      <c r="X5" s="4" t="inlineStr">
        <is>
          <t>Observaciones</t>
        </is>
      </c>
    </row>
    <row r="6">
      <c r="A6" t="inlineStr">
        <is>
          <t>TP-001</t>
        </is>
      </c>
      <c r="B6" t="inlineStr">
        <is>
          <t>EP-001</t>
        </is>
      </c>
      <c r="C6" t="inlineStr">
        <is>
          <t>Topic</t>
        </is>
      </c>
      <c r="D6" t="n">
        <v>1</v>
      </c>
      <c r="E6" t="inlineStr">
        <is>
          <t>LM Core</t>
        </is>
      </c>
      <c r="F6" t="inlineStr">
        <is>
          <t>Aplicación internal Sancorep 2</t>
        </is>
      </c>
      <c r="G6" t="inlineStr"/>
      <c r="H6" t="inlineStr"/>
      <c r="I6" t="inlineStr">
        <is>
          <t>Aplicación de internal Sancorep 2</t>
        </is>
      </c>
      <c r="J6" t="inlineStr">
        <is>
          <t>Luis</t>
        </is>
      </c>
      <c r="K6" t="inlineStr">
        <is>
          <t>Alta</t>
        </is>
      </c>
      <c r="L6" t="inlineStr">
        <is>
          <t>En certificación</t>
        </is>
      </c>
      <c r="M6" t="inlineStr">
        <is>
          <t>Sí</t>
        </is>
      </c>
      <c r="N6" t="inlineStr">
        <is>
          <t>Sí</t>
        </is>
      </c>
      <c r="O6" t="inlineStr">
        <is>
          <t>R-2026.03.30</t>
        </is>
      </c>
      <c r="P6" t="inlineStr">
        <is>
          <t>PRE-2026.03.24</t>
        </is>
      </c>
      <c r="Q6" t="inlineStr"/>
      <c r="R6" t="inlineStr">
        <is>
          <t>2026-03-10</t>
        </is>
      </c>
      <c r="S6" t="inlineStr">
        <is>
          <t>2026-03-30</t>
        </is>
      </c>
      <c r="T6" t="inlineStr">
        <is>
          <t>2026-03-10</t>
        </is>
      </c>
      <c r="U6" t="inlineStr"/>
      <c r="V6" t="inlineStr">
        <is>
          <t>No</t>
        </is>
      </c>
      <c r="W6" t="inlineStr"/>
      <c r="X6" t="inlineStr"/>
    </row>
    <row r="7">
      <c r="A7" t="inlineStr">
        <is>
          <t>ST-001</t>
        </is>
      </c>
      <c r="B7" t="inlineStr">
        <is>
          <t>TP-001</t>
        </is>
      </c>
      <c r="C7" t="inlineStr">
        <is>
          <t>Subtarea</t>
        </is>
      </c>
      <c r="D7" t="n">
        <v>1</v>
      </c>
      <c r="E7" t="inlineStr">
        <is>
          <t>LM Core</t>
        </is>
      </c>
      <c r="F7" t="inlineStr">
        <is>
          <t>Aplicación internal Sancorep 2</t>
        </is>
      </c>
      <c r="G7" t="inlineStr"/>
      <c r="H7" t="inlineStr">
        <is>
          <t>Probar exportador PRE</t>
        </is>
      </c>
      <c r="I7" t="inlineStr">
        <is>
          <t>Probar que el exportador funciona correctamente en PRE</t>
        </is>
      </c>
      <c r="J7" t="inlineStr">
        <is>
          <t>Luis</t>
        </is>
      </c>
      <c r="K7" t="inlineStr">
        <is>
          <t>Alta</t>
        </is>
      </c>
      <c r="L7" t="inlineStr">
        <is>
          <t>En certificación</t>
        </is>
      </c>
      <c r="M7" t="inlineStr">
        <is>
          <t>Sí</t>
        </is>
      </c>
      <c r="N7" t="inlineStr">
        <is>
          <t>Sí</t>
        </is>
      </c>
      <c r="O7" t="inlineStr">
        <is>
          <t>R-2026.03.30</t>
        </is>
      </c>
      <c r="P7" t="inlineStr">
        <is>
          <t>PRE-2026.03.24</t>
        </is>
      </c>
      <c r="Q7" t="inlineStr"/>
      <c r="R7" t="inlineStr">
        <is>
          <t>2026-03-10</t>
        </is>
      </c>
      <c r="S7" t="inlineStr">
        <is>
          <t>2026-03-24</t>
        </is>
      </c>
      <c r="T7" t="inlineStr">
        <is>
          <t>2026-03-20</t>
        </is>
      </c>
      <c r="U7" t="inlineStr"/>
      <c r="V7" t="inlineStr">
        <is>
          <t>No</t>
        </is>
      </c>
      <c r="W7" t="inlineStr"/>
      <c r="X7" t="inlineStr"/>
    </row>
    <row r="8">
      <c r="A8" t="inlineStr">
        <is>
          <t>ST-003</t>
        </is>
      </c>
      <c r="B8" t="inlineStr">
        <is>
          <t>TP-001</t>
        </is>
      </c>
      <c r="C8" t="inlineStr">
        <is>
          <t>Subtarea</t>
        </is>
      </c>
      <c r="D8" t="n">
        <v>3</v>
      </c>
      <c r="E8" t="inlineStr">
        <is>
          <t>LM Core</t>
        </is>
      </c>
      <c r="F8" t="inlineStr">
        <is>
          <t>Aplicación internal Sancorep 2</t>
        </is>
      </c>
      <c r="G8" t="inlineStr"/>
      <c r="H8" t="inlineStr">
        <is>
          <t>Validar datos iguales</t>
        </is>
      </c>
      <c r="I8" t="inlineStr">
        <is>
          <t>Validar que los datos son iguales para internal sancorep1 y 2</t>
        </is>
      </c>
      <c r="J8" t="inlineStr">
        <is>
          <t>Luis</t>
        </is>
      </c>
      <c r="K8" t="inlineStr">
        <is>
          <t>Alta</t>
        </is>
      </c>
      <c r="L8" t="inlineStr">
        <is>
          <t>En certificación</t>
        </is>
      </c>
      <c r="M8" t="inlineStr">
        <is>
          <t>Sí</t>
        </is>
      </c>
      <c r="N8" t="inlineStr">
        <is>
          <t>Sí</t>
        </is>
      </c>
      <c r="O8" t="inlineStr">
        <is>
          <t>R-2026.03.30</t>
        </is>
      </c>
      <c r="P8" t="inlineStr">
        <is>
          <t>PRE-2026.03.24</t>
        </is>
      </c>
      <c r="Q8" t="inlineStr"/>
      <c r="R8" t="inlineStr">
        <is>
          <t>2026-03-10</t>
        </is>
      </c>
      <c r="S8" t="inlineStr">
        <is>
          <t>2026-03-24</t>
        </is>
      </c>
      <c r="T8" t="inlineStr">
        <is>
          <t>2026-03-20</t>
        </is>
      </c>
      <c r="U8" t="inlineStr"/>
      <c r="V8" t="inlineStr">
        <is>
          <t>No</t>
        </is>
      </c>
      <c r="W8" t="inlineStr"/>
      <c r="X8" t="inlineStr"/>
    </row>
    <row r="9">
      <c r="A9" t="inlineStr">
        <is>
          <t>TP-002</t>
        </is>
      </c>
      <c r="B9" t="inlineStr">
        <is>
          <t>EP-001</t>
        </is>
      </c>
      <c r="C9" t="inlineStr">
        <is>
          <t>Topic</t>
        </is>
      </c>
      <c r="D9" t="n">
        <v>2</v>
      </c>
      <c r="E9" t="inlineStr">
        <is>
          <t>LM Core</t>
        </is>
      </c>
      <c r="F9" t="inlineStr">
        <is>
          <t>Ajustes por ingesta masiva</t>
        </is>
      </c>
      <c r="G9" t="inlineStr"/>
      <c r="H9" t="inlineStr"/>
      <c r="I9" t="inlineStr">
        <is>
          <t>Ajustes por ingesta masiva</t>
        </is>
      </c>
      <c r="J9" t="inlineStr">
        <is>
          <t>Luis</t>
        </is>
      </c>
      <c r="K9" t="inlineStr">
        <is>
          <t>Alta</t>
        </is>
      </c>
      <c r="L9" t="inlineStr">
        <is>
          <t>En curso</t>
        </is>
      </c>
      <c r="M9" t="inlineStr">
        <is>
          <t>Sí</t>
        </is>
      </c>
      <c r="N9" t="inlineStr">
        <is>
          <t>Sí</t>
        </is>
      </c>
      <c r="O9" t="inlineStr">
        <is>
          <t>R-2026.03.30</t>
        </is>
      </c>
      <c r="P9" t="inlineStr">
        <is>
          <t>PRE-2026.03.24</t>
        </is>
      </c>
      <c r="Q9" t="inlineStr"/>
      <c r="R9" t="inlineStr">
        <is>
          <t>2026-03-12</t>
        </is>
      </c>
      <c r="S9" t="inlineStr">
        <is>
          <t>2026-03-30</t>
        </is>
      </c>
      <c r="T9" t="inlineStr">
        <is>
          <t>2026-03-18</t>
        </is>
      </c>
      <c r="U9" t="inlineStr"/>
      <c r="V9" t="inlineStr">
        <is>
          <t>No</t>
        </is>
      </c>
      <c r="W9" t="inlineStr"/>
      <c r="X9" t="inlineStr"/>
    </row>
    <row r="10">
      <c r="A10" t="inlineStr">
        <is>
          <t>TP-003</t>
        </is>
      </c>
      <c r="B10" t="inlineStr">
        <is>
          <t>EP-001</t>
        </is>
      </c>
      <c r="C10" t="inlineStr">
        <is>
          <t>Topic</t>
        </is>
      </c>
      <c r="D10" t="n">
        <v>3</v>
      </c>
      <c r="E10" t="inlineStr">
        <is>
          <t>LM Core</t>
        </is>
      </c>
      <c r="F10" t="inlineStr">
        <is>
          <t>Validaciones</t>
        </is>
      </c>
      <c r="G10" t="inlineStr"/>
      <c r="H10" t="inlineStr"/>
      <c r="I10" t="inlineStr">
        <is>
          <t>Validaciones</t>
        </is>
      </c>
      <c r="J10" t="inlineStr">
        <is>
          <t>Luis</t>
        </is>
      </c>
      <c r="K10" t="inlineStr">
        <is>
          <t>Media</t>
        </is>
      </c>
      <c r="L10" t="inlineStr">
        <is>
          <t>En curso</t>
        </is>
      </c>
      <c r="M10" t="inlineStr">
        <is>
          <t>Sí</t>
        </is>
      </c>
      <c r="N10" t="inlineStr">
        <is>
          <t>Sí</t>
        </is>
      </c>
      <c r="O10" t="inlineStr">
        <is>
          <t>R-2026.03.30</t>
        </is>
      </c>
      <c r="P10" t="inlineStr"/>
      <c r="Q10" t="inlineStr"/>
      <c r="R10" t="inlineStr">
        <is>
          <t>2026-03-09</t>
        </is>
      </c>
      <c r="S10" t="inlineStr"/>
      <c r="T10" t="inlineStr">
        <is>
          <t>2026-03-09</t>
        </is>
      </c>
      <c r="U10" t="inlineStr"/>
      <c r="V10" t="inlineStr">
        <is>
          <t>No</t>
        </is>
      </c>
      <c r="W10" t="inlineStr"/>
      <c r="X10" t="inlineStr">
        <is>
          <t>Topic evolutivo</t>
        </is>
      </c>
    </row>
    <row r="11">
      <c r="A11" t="inlineStr">
        <is>
          <t>TP-010</t>
        </is>
      </c>
      <c r="B11" t="inlineStr">
        <is>
          <t>EP-005</t>
        </is>
      </c>
      <c r="C11" t="inlineStr">
        <is>
          <t>Topic</t>
        </is>
      </c>
      <c r="D11" t="n">
        <v>1</v>
      </c>
      <c r="E11" t="inlineStr">
        <is>
          <t>Scripts de datos</t>
        </is>
      </c>
      <c r="F11" t="inlineStr">
        <is>
          <t>Scripts prioritarios 30 marzo</t>
        </is>
      </c>
      <c r="G11" t="inlineStr"/>
      <c r="H11" t="inlineStr"/>
      <c r="I11" t="inlineStr">
        <is>
          <t>Scripts prioritarios 30 marzo</t>
        </is>
      </c>
      <c r="J11" t="inlineStr">
        <is>
          <t>Luis</t>
        </is>
      </c>
      <c r="K11" t="inlineStr">
        <is>
          <t>Alta</t>
        </is>
      </c>
      <c r="L11" t="inlineStr">
        <is>
          <t>Lista para release</t>
        </is>
      </c>
      <c r="M11" t="inlineStr">
        <is>
          <t>Sí</t>
        </is>
      </c>
      <c r="N11" t="inlineStr">
        <is>
          <t>Sí</t>
        </is>
      </c>
      <c r="O11" t="inlineStr">
        <is>
          <t>R-2026.03.30</t>
        </is>
      </c>
      <c r="P11" t="inlineStr">
        <is>
          <t>PRE-2026.03.24</t>
        </is>
      </c>
      <c r="Q11" t="inlineStr"/>
      <c r="R11" t="inlineStr">
        <is>
          <t>2026-03-23</t>
        </is>
      </c>
      <c r="S11" t="inlineStr">
        <is>
          <t>2026-03-30</t>
        </is>
      </c>
      <c r="T11" t="inlineStr">
        <is>
          <t>2026-03-23</t>
        </is>
      </c>
      <c r="U11" t="inlineStr"/>
      <c r="V11" t="inlineStr">
        <is>
          <t>No</t>
        </is>
      </c>
      <c r="W11" t="inlineStr"/>
      <c r="X11" t="inlineStr"/>
    </row>
    <row r="12">
      <c r="A12" t="inlineStr">
        <is>
          <t>ST-023</t>
        </is>
      </c>
      <c r="B12" t="inlineStr">
        <is>
          <t>TP-010</t>
        </is>
      </c>
      <c r="C12" t="inlineStr">
        <is>
          <t>Subtarea</t>
        </is>
      </c>
      <c r="D12" t="n">
        <v>1</v>
      </c>
      <c r="E12" t="inlineStr">
        <is>
          <t>Scripts de datos</t>
        </is>
      </c>
      <c r="F12" t="inlineStr">
        <is>
          <t>Scripts prioritarios 30 marzo</t>
        </is>
      </c>
      <c r="G12" t="inlineStr"/>
      <c r="H12" t="inlineStr">
        <is>
          <t>Script traducciones</t>
        </is>
      </c>
      <c r="I12" t="inlineStr">
        <is>
          <t>Script de traducciones no incluido en la release anterior; incluir para el 30 de marzo y hacer seguimiento</t>
        </is>
      </c>
      <c r="J12" t="inlineStr">
        <is>
          <t>Luis</t>
        </is>
      </c>
      <c r="K12" t="inlineStr">
        <is>
          <t>Alta</t>
        </is>
      </c>
      <c r="L12" t="inlineStr">
        <is>
          <t>Lista para release</t>
        </is>
      </c>
      <c r="M12" t="inlineStr">
        <is>
          <t>Sí</t>
        </is>
      </c>
      <c r="N12" t="inlineStr">
        <is>
          <t>Sí</t>
        </is>
      </c>
      <c r="O12" t="inlineStr">
        <is>
          <t>R-2026.03.30</t>
        </is>
      </c>
      <c r="P12" t="inlineStr">
        <is>
          <t>PRE-2026.03.24</t>
        </is>
      </c>
      <c r="Q12" t="inlineStr"/>
      <c r="R12" t="inlineStr">
        <is>
          <t>2026-03-23</t>
        </is>
      </c>
      <c r="S12" t="inlineStr">
        <is>
          <t>2026-03-30</t>
        </is>
      </c>
      <c r="T12" t="inlineStr">
        <is>
          <t>2026-03-23</t>
        </is>
      </c>
      <c r="U12" t="inlineStr"/>
      <c r="V12" t="inlineStr">
        <is>
          <t>No</t>
        </is>
      </c>
      <c r="W12" t="inlineStr"/>
      <c r="X12" t="inlineStr">
        <is>
          <t>Pendiente despliegue</t>
        </is>
      </c>
    </row>
    <row r="13">
      <c r="A13" t="inlineStr">
        <is>
          <t>ST-024</t>
        </is>
      </c>
      <c r="B13" t="inlineStr">
        <is>
          <t>TP-010</t>
        </is>
      </c>
      <c r="C13" t="inlineStr">
        <is>
          <t>Subtarea</t>
        </is>
      </c>
      <c r="D13" t="n">
        <v>2</v>
      </c>
      <c r="E13" t="inlineStr">
        <is>
          <t>Scripts de datos</t>
        </is>
      </c>
      <c r="F13" t="inlineStr">
        <is>
          <t>Scripts prioritarios 30 marzo</t>
        </is>
      </c>
      <c r="G13" t="inlineStr"/>
      <c r="H13" t="inlineStr">
        <is>
          <t>Borrado reporting + taxonomías</t>
        </is>
      </c>
      <c r="I13" t="inlineStr">
        <is>
          <t>Script de borrado de reporting más taxonomías. Incluir en script del 30</t>
        </is>
      </c>
      <c r="J13" t="inlineStr">
        <is>
          <t>Luis</t>
        </is>
      </c>
      <c r="K13" t="inlineStr">
        <is>
          <t>Alta</t>
        </is>
      </c>
      <c r="L13" t="inlineStr">
        <is>
          <t>Lista para release</t>
        </is>
      </c>
      <c r="M13" t="inlineStr">
        <is>
          <t>Sí</t>
        </is>
      </c>
      <c r="N13" t="inlineStr">
        <is>
          <t>Sí</t>
        </is>
      </c>
      <c r="O13" t="inlineStr">
        <is>
          <t>R-2026.03.30</t>
        </is>
      </c>
      <c r="P13" t="inlineStr">
        <is>
          <t>PRE-2026.03.24</t>
        </is>
      </c>
      <c r="Q13" t="inlineStr"/>
      <c r="R13" t="inlineStr">
        <is>
          <t>2026-03-23</t>
        </is>
      </c>
      <c r="S13" t="inlineStr">
        <is>
          <t>2026-03-30</t>
        </is>
      </c>
      <c r="T13" t="inlineStr">
        <is>
          <t>2026-03-23</t>
        </is>
      </c>
      <c r="U13" t="inlineStr"/>
      <c r="V13" t="inlineStr">
        <is>
          <t>No</t>
        </is>
      </c>
      <c r="W13" t="inlineStr"/>
      <c r="X13" t="inlineStr">
        <is>
          <t>Pendiente despliegue</t>
        </is>
      </c>
    </row>
    <row r="14">
      <c r="A14" t="inlineStr">
        <is>
          <t>TP-012</t>
        </is>
      </c>
      <c r="B14" t="inlineStr">
        <is>
          <t>EP-004</t>
        </is>
      </c>
      <c r="C14" t="inlineStr">
        <is>
          <t>Topic</t>
        </is>
      </c>
      <c r="D14" t="n">
        <v>1</v>
      </c>
      <c r="E14" t="inlineStr">
        <is>
          <t>Release/Despliegues</t>
        </is>
      </c>
      <c r="F14" t="inlineStr">
        <is>
          <t>Plan de pruebas release 23/24 marzo PRE</t>
        </is>
      </c>
      <c r="G14" t="inlineStr"/>
      <c r="H14" t="inlineStr"/>
      <c r="I14" t="inlineStr">
        <is>
          <t>Plan de pruebas release última del 23/24 marzo a PRE</t>
        </is>
      </c>
      <c r="J14" t="inlineStr">
        <is>
          <t>Luis</t>
        </is>
      </c>
      <c r="K14" t="inlineStr">
        <is>
          <t>Alta</t>
        </is>
      </c>
      <c r="L14" t="inlineStr">
        <is>
          <t>En curso</t>
        </is>
      </c>
      <c r="M14" t="inlineStr">
        <is>
          <t>Sí</t>
        </is>
      </c>
      <c r="N14" t="inlineStr">
        <is>
          <t>Sí</t>
        </is>
      </c>
      <c r="O14" t="inlineStr">
        <is>
          <t>R-2026.03.24</t>
        </is>
      </c>
      <c r="P14" t="inlineStr">
        <is>
          <t>PRE-2026.03.24</t>
        </is>
      </c>
      <c r="Q14" t="inlineStr"/>
      <c r="R14" t="inlineStr">
        <is>
          <t>2026-03-23</t>
        </is>
      </c>
      <c r="S14" t="inlineStr">
        <is>
          <t>2026-03-24</t>
        </is>
      </c>
      <c r="T14" t="inlineStr">
        <is>
          <t>2026-03-23</t>
        </is>
      </c>
      <c r="U14" t="inlineStr"/>
      <c r="V14" t="inlineStr">
        <is>
          <t>No</t>
        </is>
      </c>
      <c r="W14" t="inlineStr"/>
      <c r="X14" t="inlineStr">
        <is>
          <t>Pertenece a Luis</t>
        </is>
      </c>
    </row>
    <row r="15">
      <c r="A15" t="inlineStr">
        <is>
          <t>ST-028</t>
        </is>
      </c>
      <c r="B15" t="inlineStr">
        <is>
          <t>TP-012</t>
        </is>
      </c>
      <c r="C15" t="inlineStr">
        <is>
          <t>Subtarea</t>
        </is>
      </c>
      <c r="D15" t="n">
        <v>1</v>
      </c>
      <c r="E15" t="inlineStr">
        <is>
          <t>Release/Despliegues</t>
        </is>
      </c>
      <c r="F15" t="inlineStr">
        <is>
          <t>Plan de pruebas release 23/24 marzo PRE</t>
        </is>
      </c>
      <c r="G15" t="inlineStr"/>
      <c r="H15" t="inlineStr">
        <is>
          <t>Probar release</t>
        </is>
      </c>
      <c r="I15" t="inlineStr">
        <is>
          <t>Probar la release en PRE</t>
        </is>
      </c>
      <c r="J15" t="inlineStr">
        <is>
          <t>Luis</t>
        </is>
      </c>
      <c r="K15" t="inlineStr">
        <is>
          <t>Alta</t>
        </is>
      </c>
      <c r="L15" t="inlineStr">
        <is>
          <t>En curso</t>
        </is>
      </c>
      <c r="M15" t="inlineStr">
        <is>
          <t>Sí</t>
        </is>
      </c>
      <c r="N15" t="inlineStr">
        <is>
          <t>Sí</t>
        </is>
      </c>
      <c r="O15" t="inlineStr">
        <is>
          <t>R-2026.03.24</t>
        </is>
      </c>
      <c r="P15" t="inlineStr">
        <is>
          <t>PRE-2026.03.24</t>
        </is>
      </c>
      <c r="Q15" t="inlineStr"/>
      <c r="R15" t="inlineStr">
        <is>
          <t>2026-03-23</t>
        </is>
      </c>
      <c r="S15" t="inlineStr">
        <is>
          <t>2026-03-24</t>
        </is>
      </c>
      <c r="T15" t="inlineStr">
        <is>
          <t>2026-03-23</t>
        </is>
      </c>
      <c r="U15" t="inlineStr"/>
      <c r="V15" t="inlineStr">
        <is>
          <t>No</t>
        </is>
      </c>
      <c r="W15" t="inlineStr"/>
      <c r="X15" t="inlineStr"/>
    </row>
  </sheetData>
  <conditionalFormatting sqref="M6:X515">
    <cfRule type="expression" priority="1" dxfId="0">
      <formula>$M6="Sí"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8" customWidth="1" min="4" max="4"/>
    <col width="18" customWidth="1" min="5" max="5"/>
    <col width="20" customWidth="1" min="6" max="6"/>
    <col width="28" customWidth="1" min="7" max="7"/>
    <col width="30" customWidth="1" min="8" max="8"/>
    <col width="45" customWidth="1" min="9" max="9"/>
    <col width="14" customWidth="1" min="10" max="10"/>
    <col width="10" customWidth="1" min="11" max="11"/>
    <col width="18" customWidth="1" min="12" max="12"/>
    <col width="12" customWidth="1" min="13" max="13"/>
    <col width="14" customWidth="1" min="14" max="14"/>
    <col width="18" customWidth="1" min="15" max="15"/>
    <col width="14" customWidth="1" min="16" max="16"/>
    <col width="14" customWidth="1" min="17" max="17"/>
    <col width="12" customWidth="1" min="18" max="18"/>
    <col width="14" customWidth="1" min="19" max="19"/>
    <col width="12" customWidth="1" min="20" max="20"/>
    <col width="12" customWidth="1" min="21" max="21"/>
    <col width="12" customWidth="1" min="22" max="22"/>
    <col width="20" customWidth="1" min="23" max="23"/>
    <col width="36" customWidth="1" min="24" max="24"/>
  </cols>
  <sheetData>
    <row r="1">
      <c r="A1" s="6" t="inlineStr">
        <is>
          <t>Histórico de completadas</t>
        </is>
      </c>
    </row>
    <row r="2"/>
    <row r="3">
      <c r="A3" t="inlineStr">
        <is>
          <t>Regla esperada</t>
        </is>
      </c>
      <c r="B3" t="inlineStr">
        <is>
          <t>La macro moverá aquí lo completado y mantendrá histórico. Puede aplicarse una ventana de 30 días en Seguimiento.</t>
        </is>
      </c>
    </row>
    <row r="4"/>
    <row r="5">
      <c r="A5" s="4" t="inlineStr">
        <is>
          <t>ID</t>
        </is>
      </c>
      <c r="B5" s="4" t="inlineStr">
        <is>
          <t>Parent_ID</t>
        </is>
      </c>
      <c r="C5" s="4" t="inlineStr">
        <is>
          <t>Nivel</t>
        </is>
      </c>
      <c r="D5" s="4" t="inlineStr">
        <is>
          <t>Orden</t>
        </is>
      </c>
      <c r="E5" s="4" t="inlineStr">
        <is>
          <t>Epic</t>
        </is>
      </c>
      <c r="F5" s="4" t="inlineStr">
        <is>
          <t>Topic</t>
        </is>
      </c>
      <c r="G5" s="4" t="inlineStr">
        <is>
          <t>Tarea</t>
        </is>
      </c>
      <c r="H5" s="4" t="inlineStr">
        <is>
          <t>Subtarea</t>
        </is>
      </c>
      <c r="I5" s="4" t="inlineStr">
        <is>
          <t>Resumen</t>
        </is>
      </c>
      <c r="J5" s="4" t="inlineStr">
        <is>
          <t>Responsable</t>
        </is>
      </c>
      <c r="K5" s="4" t="inlineStr">
        <is>
          <t>Prioridad</t>
        </is>
      </c>
      <c r="L5" s="4" t="inlineStr">
        <is>
          <t>Estado</t>
        </is>
      </c>
      <c r="M5" s="4" t="inlineStr">
        <is>
          <t>Seguimiento</t>
        </is>
      </c>
      <c r="N5" s="4" t="inlineStr">
        <is>
          <t>Definición_OK</t>
        </is>
      </c>
      <c r="O5" s="4" t="inlineStr">
        <is>
          <t>Release_Target</t>
        </is>
      </c>
      <c r="P5" s="4" t="inlineStr">
        <is>
          <t>Pre_Version</t>
        </is>
      </c>
      <c r="Q5" s="4" t="inlineStr">
        <is>
          <t>Pro_Version</t>
        </is>
      </c>
      <c r="R5" s="4" t="inlineStr">
        <is>
          <t>Fecha_Alta</t>
        </is>
      </c>
      <c r="S5" s="4" t="inlineStr">
        <is>
          <t>Fecha_Objetivo</t>
        </is>
      </c>
      <c r="T5" s="4" t="inlineStr">
        <is>
          <t>Fecha_Inicio</t>
        </is>
      </c>
      <c r="U5" s="4" t="inlineStr">
        <is>
          <t>Fecha_Fin</t>
        </is>
      </c>
      <c r="V5" s="4" t="inlineStr">
        <is>
          <t>Bloqueada</t>
        </is>
      </c>
      <c r="W5" s="4" t="inlineStr">
        <is>
          <t>Dependencias</t>
        </is>
      </c>
      <c r="X5" s="4" t="inlineStr">
        <is>
          <t>Observaciones</t>
        </is>
      </c>
    </row>
    <row r="6">
      <c r="A6" t="inlineStr">
        <is>
          <t>ST-005</t>
        </is>
      </c>
      <c r="B6" t="inlineStr">
        <is>
          <t>TP-002</t>
        </is>
      </c>
      <c r="C6" t="inlineStr">
        <is>
          <t>Subtarea</t>
        </is>
      </c>
      <c r="D6" t="n">
        <v>1</v>
      </c>
      <c r="E6" t="inlineStr">
        <is>
          <t>LM Core</t>
        </is>
      </c>
      <c r="F6" t="inlineStr">
        <is>
          <t>Ajustes por ingesta masiva</t>
        </is>
      </c>
      <c r="G6" t="inlineStr"/>
      <c r="H6" t="inlineStr">
        <is>
          <t>Ingestar fichero masivo</t>
        </is>
      </c>
      <c r="I6" t="inlineStr">
        <is>
          <t>Ingestar un fichero de ajustes masivo a un módulo</t>
        </is>
      </c>
      <c r="J6" t="inlineStr">
        <is>
          <t>Luis</t>
        </is>
      </c>
      <c r="K6" t="inlineStr">
        <is>
          <t>Alta</t>
        </is>
      </c>
      <c r="L6" t="inlineStr">
        <is>
          <t>Completada</t>
        </is>
      </c>
      <c r="M6" t="inlineStr">
        <is>
          <t>Sí</t>
        </is>
      </c>
      <c r="N6" t="inlineStr">
        <is>
          <t>Sí</t>
        </is>
      </c>
      <c r="O6" t="inlineStr">
        <is>
          <t>R-2026.03.24</t>
        </is>
      </c>
      <c r="P6" t="inlineStr">
        <is>
          <t>PRE-2026.03.24</t>
        </is>
      </c>
      <c r="Q6" t="inlineStr"/>
      <c r="R6" t="inlineStr">
        <is>
          <t>2026-03-12</t>
        </is>
      </c>
      <c r="S6" t="inlineStr">
        <is>
          <t>2026-03-18</t>
        </is>
      </c>
      <c r="T6" t="inlineStr">
        <is>
          <t>2026-03-12</t>
        </is>
      </c>
      <c r="U6" t="inlineStr">
        <is>
          <t>2026-03-18</t>
        </is>
      </c>
      <c r="V6" t="inlineStr">
        <is>
          <t>No</t>
        </is>
      </c>
      <c r="W6" t="inlineStr"/>
      <c r="X6" t="inlineStr"/>
    </row>
    <row r="7">
      <c r="A7" t="inlineStr">
        <is>
          <t>ST-006</t>
        </is>
      </c>
      <c r="B7" t="inlineStr">
        <is>
          <t>TP-002</t>
        </is>
      </c>
      <c r="C7" t="inlineStr">
        <is>
          <t>Subtarea</t>
        </is>
      </c>
      <c r="D7" t="n">
        <v>2</v>
      </c>
      <c r="E7" t="inlineStr">
        <is>
          <t>LM Core</t>
        </is>
      </c>
      <c r="F7" t="inlineStr">
        <is>
          <t>Ajustes por ingesta masiva</t>
        </is>
      </c>
      <c r="G7" t="inlineStr"/>
      <c r="H7" t="inlineStr">
        <is>
          <t>Parcial o total</t>
        </is>
      </c>
      <c r="I7" t="inlineStr">
        <is>
          <t>Probar que se puede ingestar parcial o total</t>
        </is>
      </c>
      <c r="J7" t="inlineStr">
        <is>
          <t>Luis</t>
        </is>
      </c>
      <c r="K7" t="inlineStr">
        <is>
          <t>Alta</t>
        </is>
      </c>
      <c r="L7" t="inlineStr">
        <is>
          <t>Completada</t>
        </is>
      </c>
      <c r="M7" t="inlineStr">
        <is>
          <t>Sí</t>
        </is>
      </c>
      <c r="N7" t="inlineStr">
        <is>
          <t>Sí</t>
        </is>
      </c>
      <c r="O7" t="inlineStr">
        <is>
          <t>R-2026.03.24</t>
        </is>
      </c>
      <c r="P7" t="inlineStr">
        <is>
          <t>PRE-2026.03.24</t>
        </is>
      </c>
      <c r="Q7" t="inlineStr"/>
      <c r="R7" t="inlineStr">
        <is>
          <t>2026-03-12</t>
        </is>
      </c>
      <c r="S7" t="inlineStr">
        <is>
          <t>2026-03-18</t>
        </is>
      </c>
      <c r="T7" t="inlineStr">
        <is>
          <t>2026-03-12</t>
        </is>
      </c>
      <c r="U7" t="inlineStr">
        <is>
          <t>2026-03-18</t>
        </is>
      </c>
      <c r="V7" t="inlineStr">
        <is>
          <t>No</t>
        </is>
      </c>
      <c r="W7" t="inlineStr"/>
      <c r="X7" t="inlineStr">
        <is>
          <t>Terminada</t>
        </is>
      </c>
    </row>
    <row r="8">
      <c r="A8" t="inlineStr">
        <is>
          <t>ST-008</t>
        </is>
      </c>
      <c r="B8" t="inlineStr">
        <is>
          <t>TP-002</t>
        </is>
      </c>
      <c r="C8" t="inlineStr">
        <is>
          <t>Subtarea</t>
        </is>
      </c>
      <c r="D8" t="n">
        <v>4</v>
      </c>
      <c r="E8" t="inlineStr">
        <is>
          <t>LM Core</t>
        </is>
      </c>
      <c r="F8" t="inlineStr">
        <is>
          <t>Ajustes por ingesta masiva</t>
        </is>
      </c>
      <c r="G8" t="inlineStr"/>
      <c r="H8" t="inlineStr">
        <is>
          <t>Modal ajustes/descarga</t>
        </is>
      </c>
      <c r="I8" t="inlineStr">
        <is>
          <t>Ver que el modal de ajustes y descarga funciona correctamente</t>
        </is>
      </c>
      <c r="J8" t="inlineStr">
        <is>
          <t>Luis</t>
        </is>
      </c>
      <c r="K8" t="inlineStr">
        <is>
          <t>Alta</t>
        </is>
      </c>
      <c r="L8" t="inlineStr">
        <is>
          <t>Completada</t>
        </is>
      </c>
      <c r="M8" t="inlineStr">
        <is>
          <t>Sí</t>
        </is>
      </c>
      <c r="N8" t="inlineStr">
        <is>
          <t>Sí</t>
        </is>
      </c>
      <c r="O8" t="inlineStr">
        <is>
          <t>R-2026.03.24</t>
        </is>
      </c>
      <c r="P8" t="inlineStr">
        <is>
          <t>PRE-2026.03.24</t>
        </is>
      </c>
      <c r="Q8" t="inlineStr"/>
      <c r="R8" t="inlineStr">
        <is>
          <t>2026-03-12</t>
        </is>
      </c>
      <c r="S8" t="inlineStr">
        <is>
          <t>2026-03-18</t>
        </is>
      </c>
      <c r="T8" t="inlineStr">
        <is>
          <t>2026-03-12</t>
        </is>
      </c>
      <c r="U8" t="inlineStr">
        <is>
          <t>2026-03-18</t>
        </is>
      </c>
      <c r="V8" t="inlineStr">
        <is>
          <t>No</t>
        </is>
      </c>
      <c r="W8" t="inlineStr"/>
      <c r="X8" t="inlineStr">
        <is>
          <t>Terminada</t>
        </is>
      </c>
    </row>
    <row r="9">
      <c r="A9" t="inlineStr">
        <is>
          <t>ST-011</t>
        </is>
      </c>
      <c r="B9" t="inlineStr">
        <is>
          <t>TP-003</t>
        </is>
      </c>
      <c r="C9" t="inlineStr">
        <is>
          <t>Subtarea</t>
        </is>
      </c>
      <c r="D9" t="n">
        <v>1</v>
      </c>
      <c r="E9" t="inlineStr">
        <is>
          <t>LM Core</t>
        </is>
      </c>
      <c r="F9" t="inlineStr">
        <is>
          <t>Validaciones</t>
        </is>
      </c>
      <c r="G9" t="inlineStr"/>
      <c r="H9" t="inlineStr">
        <is>
          <t>Esconder estatus</t>
        </is>
      </c>
      <c r="I9" t="inlineStr">
        <is>
          <t>Esconder por defecto columna estatus en el modal de validaciones</t>
        </is>
      </c>
      <c r="J9" t="inlineStr">
        <is>
          <t>Luis</t>
        </is>
      </c>
      <c r="K9" t="inlineStr">
        <is>
          <t>Media</t>
        </is>
      </c>
      <c r="L9" t="inlineStr">
        <is>
          <t>Completada</t>
        </is>
      </c>
      <c r="M9" t="inlineStr">
        <is>
          <t>Sí</t>
        </is>
      </c>
      <c r="N9" t="inlineStr">
        <is>
          <t>Sí</t>
        </is>
      </c>
      <c r="O9" t="inlineStr">
        <is>
          <t>R-2026.03.10</t>
        </is>
      </c>
      <c r="P9" t="inlineStr"/>
      <c r="Q9" t="inlineStr"/>
      <c r="R9" t="inlineStr">
        <is>
          <t>2026-03-09</t>
        </is>
      </c>
      <c r="S9" t="inlineStr">
        <is>
          <t>2026-03-09</t>
        </is>
      </c>
      <c r="T9" t="inlineStr">
        <is>
          <t>2026-03-09</t>
        </is>
      </c>
      <c r="U9" t="inlineStr">
        <is>
          <t>2026-03-09</t>
        </is>
      </c>
      <c r="V9" t="inlineStr">
        <is>
          <t>No</t>
        </is>
      </c>
      <c r="W9" t="inlineStr"/>
      <c r="X9" t="inlineStr">
        <is>
          <t>Terminada hace dos semanas</t>
        </is>
      </c>
    </row>
    <row r="10">
      <c r="A10" t="inlineStr">
        <is>
          <t>ST-012</t>
        </is>
      </c>
      <c r="B10" t="inlineStr">
        <is>
          <t>TP-003</t>
        </is>
      </c>
      <c r="C10" t="inlineStr">
        <is>
          <t>Subtarea</t>
        </is>
      </c>
      <c r="D10" t="n">
        <v>2</v>
      </c>
      <c r="E10" t="inlineStr">
        <is>
          <t>LM Core</t>
        </is>
      </c>
      <c r="F10" t="inlineStr">
        <is>
          <t>Validaciones</t>
        </is>
      </c>
      <c r="G10" t="inlineStr"/>
      <c r="H10" t="inlineStr">
        <is>
          <t>Orden restrictivas/informativas</t>
        </is>
      </c>
      <c r="I10" t="inlineStr">
        <is>
          <t>No se ordenan bien restrictivas y luego informativas</t>
        </is>
      </c>
      <c r="J10" t="inlineStr">
        <is>
          <t>Luis</t>
        </is>
      </c>
      <c r="K10" t="inlineStr">
        <is>
          <t>Media</t>
        </is>
      </c>
      <c r="L10" t="inlineStr">
        <is>
          <t>Completada</t>
        </is>
      </c>
      <c r="M10" t="inlineStr">
        <is>
          <t>Sí</t>
        </is>
      </c>
      <c r="N10" t="inlineStr">
        <is>
          <t>Sí</t>
        </is>
      </c>
      <c r="O10" t="inlineStr">
        <is>
          <t>R-2026.03.10</t>
        </is>
      </c>
      <c r="P10" t="inlineStr"/>
      <c r="Q10" t="inlineStr"/>
      <c r="R10" t="inlineStr">
        <is>
          <t>2026-03-09</t>
        </is>
      </c>
      <c r="S10" t="inlineStr">
        <is>
          <t>2026-03-09</t>
        </is>
      </c>
      <c r="T10" t="inlineStr">
        <is>
          <t>2026-03-09</t>
        </is>
      </c>
      <c r="U10" t="inlineStr">
        <is>
          <t>2026-03-09</t>
        </is>
      </c>
      <c r="V10" t="inlineStr">
        <is>
          <t>No</t>
        </is>
      </c>
      <c r="W10" t="inlineStr"/>
      <c r="X10" t="inlineStr">
        <is>
          <t>Terminada hace dos semanas</t>
        </is>
      </c>
    </row>
    <row r="11">
      <c r="A11" t="inlineStr">
        <is>
          <t>ST-013</t>
        </is>
      </c>
      <c r="B11" t="inlineStr">
        <is>
          <t>TP-003</t>
        </is>
      </c>
      <c r="C11" t="inlineStr">
        <is>
          <t>Subtarea</t>
        </is>
      </c>
      <c r="D11" t="n">
        <v>3</v>
      </c>
      <c r="E11" t="inlineStr">
        <is>
          <t>LM Core</t>
        </is>
      </c>
      <c r="F11" t="inlineStr">
        <is>
          <t>Validaciones</t>
        </is>
      </c>
      <c r="G11" t="inlineStr"/>
      <c r="H11" t="inlineStr">
        <is>
          <t>Botón validar antes</t>
        </is>
      </c>
      <c r="I11" t="inlineStr">
        <is>
          <t>Poner el botón de validar primero y luego el botón de visualizar</t>
        </is>
      </c>
      <c r="J11" t="inlineStr">
        <is>
          <t>Luis</t>
        </is>
      </c>
      <c r="K11" t="inlineStr">
        <is>
          <t>Media</t>
        </is>
      </c>
      <c r="L11" t="inlineStr">
        <is>
          <t>Completada</t>
        </is>
      </c>
      <c r="M11" t="inlineStr">
        <is>
          <t>Sí</t>
        </is>
      </c>
      <c r="N11" t="inlineStr">
        <is>
          <t>Sí</t>
        </is>
      </c>
      <c r="O11" t="inlineStr">
        <is>
          <t>R-2026.03.10</t>
        </is>
      </c>
      <c r="P11" t="inlineStr"/>
      <c r="Q11" t="inlineStr"/>
      <c r="R11" t="inlineStr">
        <is>
          <t>2026-03-09</t>
        </is>
      </c>
      <c r="S11" t="inlineStr">
        <is>
          <t>2026-03-09</t>
        </is>
      </c>
      <c r="T11" t="inlineStr">
        <is>
          <t>2026-03-09</t>
        </is>
      </c>
      <c r="U11" t="inlineStr">
        <is>
          <t>2026-03-09</t>
        </is>
      </c>
      <c r="V11" t="inlineStr">
        <is>
          <t>No</t>
        </is>
      </c>
      <c r="W11" t="inlineStr"/>
      <c r="X11" t="inlineStr">
        <is>
          <t>Terminada hace dos semanas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4" max="4"/>
    <col width="65" customWidth="1" min="5" max="5"/>
  </cols>
  <sheetData>
    <row r="1">
      <c r="A1" s="6" t="inlineStr">
        <is>
          <t>Creador de tareas</t>
        </is>
      </c>
    </row>
    <row r="2"/>
    <row r="3">
      <c r="A3" t="inlineStr">
        <is>
          <t>Alta individual</t>
        </is>
      </c>
      <c r="D3" t="inlineStr">
        <is>
          <t>Alta masiva CSV</t>
        </is>
      </c>
    </row>
    <row r="4" ht="22" customHeight="1">
      <c r="A4" s="3" t="inlineStr">
        <is>
          <t>Nivel</t>
        </is>
      </c>
      <c r="B4" s="7" t="inlineStr"/>
      <c r="D4" t="inlineStr">
        <is>
          <t>Pega aquí líneas CSV con este orden:</t>
        </is>
      </c>
    </row>
    <row r="5" ht="22" customHeight="1">
      <c r="A5" s="3" t="inlineStr">
        <is>
          <t>Parent_ID</t>
        </is>
      </c>
      <c r="B5" s="7" t="inlineStr"/>
      <c r="D5" t="inlineStr">
        <is>
          <t>Nivel,Parent_ID,Epic,Topic,Tarea,Subtarea,Resumen,Responsable,Prioridad,Fecha_Objetivo,Release_Target,Definición_OK,Observaciones</t>
        </is>
      </c>
    </row>
    <row r="6" ht="22" customHeight="1">
      <c r="A6" s="3" t="inlineStr">
        <is>
          <t>Epic</t>
        </is>
      </c>
      <c r="B6" s="7" t="inlineStr"/>
    </row>
    <row r="7" ht="22" customHeight="1">
      <c r="A7" s="3" t="inlineStr">
        <is>
          <t>Topic</t>
        </is>
      </c>
      <c r="B7" s="7" t="inlineStr"/>
      <c r="D7" t="inlineStr">
        <is>
          <t>Ejemplo</t>
        </is>
      </c>
    </row>
    <row r="8" ht="22" customHeight="1">
      <c r="A8" s="3" t="inlineStr">
        <is>
          <t>Tarea</t>
        </is>
      </c>
      <c r="B8" s="7" t="inlineStr"/>
      <c r="D8" t="inlineStr">
        <is>
          <t>Subtarea,TP-010,Scripts de datos,Scripts prioritarios 30 marzo,,Nueva validación,Validar script en PRE,Luis,Alta,2026-03-30,R-2026.03.30,Sí,Alta desde creador</t>
        </is>
      </c>
    </row>
    <row r="9" ht="22" customHeight="1">
      <c r="A9" s="3" t="inlineStr">
        <is>
          <t>Subtarea</t>
        </is>
      </c>
      <c r="B9" s="7" t="inlineStr"/>
    </row>
    <row r="10" ht="22" customHeight="1">
      <c r="A10" s="3" t="inlineStr">
        <is>
          <t>Resumen</t>
        </is>
      </c>
      <c r="B10" s="7" t="inlineStr"/>
      <c r="D10" t="inlineStr">
        <is>
          <t>Área de pegado CSV</t>
        </is>
      </c>
    </row>
    <row r="11" ht="22" customHeight="1">
      <c r="A11" s="3" t="inlineStr">
        <is>
          <t>Responsable</t>
        </is>
      </c>
      <c r="B11" s="7" t="inlineStr"/>
      <c r="D11" t="inlineStr">
        <is>
          <t>(una línea por tarea)</t>
        </is>
      </c>
    </row>
    <row r="12" ht="22" customHeight="1">
      <c r="A12" s="3" t="inlineStr">
        <is>
          <t>Prioridad</t>
        </is>
      </c>
      <c r="B12" s="7" t="inlineStr"/>
      <c r="D12" t="inlineStr"/>
    </row>
    <row r="13" ht="22" customHeight="1">
      <c r="A13" s="3" t="inlineStr">
        <is>
          <t>Fecha_Objetivo</t>
        </is>
      </c>
      <c r="B13" s="7" t="inlineStr"/>
    </row>
    <row r="14" ht="22" customHeight="1">
      <c r="A14" s="3" t="inlineStr">
        <is>
          <t>Release_Target</t>
        </is>
      </c>
      <c r="B14" s="7" t="inlineStr"/>
    </row>
    <row r="15" ht="22" customHeight="1">
      <c r="A15" s="3" t="inlineStr">
        <is>
          <t>Definición_OK</t>
        </is>
      </c>
      <c r="B15" s="7" t="inlineStr"/>
    </row>
    <row r="16" ht="22" customHeight="1">
      <c r="A16" s="3" t="inlineStr">
        <is>
          <t>Observaciones</t>
        </is>
      </c>
      <c r="B16" s="7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8" customWidth="1" min="4" max="4"/>
    <col width="55" customWidth="1" min="6" max="6"/>
  </cols>
  <sheetData>
    <row r="1">
      <c r="A1" s="6" t="inlineStr">
        <is>
          <t>Procesos esperados / macros</t>
        </is>
      </c>
    </row>
    <row r="2"/>
    <row r="3">
      <c r="A3" t="inlineStr">
        <is>
          <t>RefrescarVistas</t>
        </is>
      </c>
      <c r="B3" t="inlineStr">
        <is>
          <t>Regenera Seguimiento y Completadas desde Backlog según reglas.</t>
        </is>
      </c>
      <c r="D3" t="inlineStr">
        <is>
          <t>Campos obligatorios mínimos para pasar a Seguimiento</t>
        </is>
      </c>
      <c r="F3" t="inlineStr">
        <is>
          <t>Notas de diseño</t>
        </is>
      </c>
    </row>
    <row r="4">
      <c r="A4" t="inlineStr">
        <is>
          <t>EnviarA Seguimiento</t>
        </is>
      </c>
      <c r="B4" t="inlineStr">
        <is>
          <t>Valida definición, pregunta por hijos y marca Seguimiento=Sí.</t>
        </is>
      </c>
      <c r="D4" t="inlineStr">
        <is>
          <t>ID</t>
        </is>
      </c>
      <c r="F4" t="inlineStr">
        <is>
          <t>Backlog es la fuente maestra.</t>
        </is>
      </c>
    </row>
    <row r="5">
      <c r="A5" t="inlineStr">
        <is>
          <t>MoverACompletadas</t>
        </is>
      </c>
      <c r="B5" t="inlineStr">
        <is>
          <t>Marca estado completada, fecha fin y mueve a Completadas.</t>
        </is>
      </c>
      <c r="D5" t="inlineStr">
        <is>
          <t>Nivel</t>
        </is>
      </c>
      <c r="F5" t="inlineStr">
        <is>
          <t>Seguimiento y Completadas deben considerarse vistas regenerables, no fuente maestra.</t>
        </is>
      </c>
    </row>
    <row r="6">
      <c r="A6" t="inlineStr">
        <is>
          <t>CrearTareasDesdeCSV</t>
        </is>
      </c>
      <c r="B6" t="inlineStr">
        <is>
          <t>Alta masiva desde Creador_Tareas.</t>
        </is>
      </c>
      <c r="D6" t="inlineStr">
        <is>
          <t>Epic</t>
        </is>
      </c>
      <c r="F6" t="inlineStr">
        <is>
          <t>El check Seguimiento debe disparar validación y estilo gris.</t>
        </is>
      </c>
    </row>
    <row r="7">
      <c r="A7" t="inlineStr">
        <is>
          <t>ValidarSeleccion</t>
        </is>
      </c>
      <c r="B7" t="inlineStr">
        <is>
          <t>Comprueba campos obligatorios antes de mover a Seguimiento.</t>
        </is>
      </c>
      <c r="D7" t="inlineStr">
        <is>
          <t>Resumen</t>
        </is>
      </c>
      <c r="F7" t="inlineStr">
        <is>
          <t>Las altas masivas deben asignar Fecha_Alta automática e ID secuencial.</t>
        </is>
      </c>
    </row>
    <row r="8">
      <c r="A8" t="inlineStr">
        <is>
          <t>LimpiarSeguimientoAntiguo</t>
        </is>
      </c>
      <c r="B8" t="inlineStr">
        <is>
          <t>Opcional: saca de Seguimiento lo completado &gt;30 días.</t>
        </is>
      </c>
      <c r="D8" t="inlineStr">
        <is>
          <t>Responsable</t>
        </is>
      </c>
    </row>
    <row r="9">
      <c r="D9" t="inlineStr">
        <is>
          <t>Prioridad</t>
        </is>
      </c>
    </row>
    <row r="10">
      <c r="D10" t="inlineStr">
        <is>
          <t>Estado</t>
        </is>
      </c>
    </row>
    <row r="11">
      <c r="D11" t="inlineStr">
        <is>
          <t>Definición_OK=Sí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2" customWidth="1" min="4" max="4"/>
    <col width="44" customWidth="1" min="5" max="5"/>
    <col width="44" customWidth="1" min="6" max="6"/>
    <col width="12" customWidth="1" min="7" max="7"/>
  </cols>
  <sheetData>
    <row r="1">
      <c r="A1" s="6" t="inlineStr">
        <is>
          <t>Plan de pruebas</t>
        </is>
      </c>
    </row>
    <row r="2"/>
    <row r="3">
      <c r="A3" s="4" t="inlineStr">
        <is>
          <t>ID</t>
        </is>
      </c>
      <c r="B3" s="4" t="inlineStr">
        <is>
          <t>Área</t>
        </is>
      </c>
      <c r="C3" s="4" t="inlineStr">
        <is>
          <t>Caso</t>
        </is>
      </c>
      <c r="D3" s="4" t="inlineStr">
        <is>
          <t>Precondición</t>
        </is>
      </c>
      <c r="E3" s="4" t="inlineStr">
        <is>
          <t>Pasos</t>
        </is>
      </c>
      <c r="F3" s="4" t="inlineStr">
        <is>
          <t>Resultado esperado</t>
        </is>
      </c>
      <c r="G3" s="4" t="inlineStr">
        <is>
          <t>Estado</t>
        </is>
      </c>
    </row>
    <row r="4">
      <c r="A4" t="inlineStr">
        <is>
          <t>PT-001</t>
        </is>
      </c>
      <c r="B4" t="inlineStr">
        <is>
          <t>Carga</t>
        </is>
      </c>
      <c r="C4" t="inlineStr">
        <is>
          <t>Abrir workbook sin reparación</t>
        </is>
      </c>
      <c r="D4" t="inlineStr">
        <is>
          <t>Archivo descargado</t>
        </is>
      </c>
      <c r="E4" t="inlineStr">
        <is>
          <t>Abrir en Excel escritorio</t>
        </is>
      </c>
      <c r="F4" t="inlineStr">
        <is>
          <t>No aparece mensaje de reparación</t>
        </is>
      </c>
      <c r="G4" t="inlineStr">
        <is>
          <t>Pendiente</t>
        </is>
      </c>
    </row>
    <row r="5">
      <c r="A5" t="inlineStr">
        <is>
          <t>PT-002</t>
        </is>
      </c>
      <c r="B5" t="inlineStr">
        <is>
          <t>Backlog</t>
        </is>
      </c>
      <c r="C5" t="inlineStr">
        <is>
          <t>Check Seguimiento gris</t>
        </is>
      </c>
      <c r="D5" t="inlineStr">
        <is>
          <t>Fila con Seguimiento=No</t>
        </is>
      </c>
      <c r="E5" t="inlineStr">
        <is>
          <t>Cambiar Seguimiento a Sí</t>
        </is>
      </c>
      <c r="F5" t="inlineStr">
        <is>
          <t>La fila se pinta en gris</t>
        </is>
      </c>
      <c r="G5" t="inlineStr">
        <is>
          <t>Pendiente</t>
        </is>
      </c>
    </row>
    <row r="6">
      <c r="A6" t="inlineStr">
        <is>
          <t>PT-003</t>
        </is>
      </c>
      <c r="B6" t="inlineStr">
        <is>
          <t>Backlog</t>
        </is>
      </c>
      <c r="C6" t="inlineStr">
        <is>
          <t>Validación definición</t>
        </is>
      </c>
      <c r="D6" t="inlineStr">
        <is>
          <t>Fila con Definición_OK=No</t>
        </is>
      </c>
      <c r="E6" t="inlineStr">
        <is>
          <t>Intentar enviar a Seguimiento</t>
        </is>
      </c>
      <c r="F6" t="inlineStr">
        <is>
          <t>La macro bloquea y muestra mensaje</t>
        </is>
      </c>
      <c r="G6" t="inlineStr">
        <is>
          <t>Pendiente</t>
        </is>
      </c>
    </row>
    <row r="7">
      <c r="A7" t="inlineStr">
        <is>
          <t>PT-004</t>
        </is>
      </c>
      <c r="B7" t="inlineStr">
        <is>
          <t>Jerarquía</t>
        </is>
      </c>
      <c r="C7" t="inlineStr">
        <is>
          <t>Seleccionar épica</t>
        </is>
      </c>
      <c r="D7" t="inlineStr">
        <is>
          <t>Épica con hijos</t>
        </is>
      </c>
      <c r="E7" t="inlineStr">
        <is>
          <t>Enviar épica a Seguimiento</t>
        </is>
      </c>
      <c r="F7" t="inlineStr">
        <is>
          <t>Pregunta si incluir topics/tareas/subtareas</t>
        </is>
      </c>
      <c r="G7" t="inlineStr">
        <is>
          <t>Pendiente</t>
        </is>
      </c>
    </row>
    <row r="8">
      <c r="A8" t="inlineStr">
        <is>
          <t>PT-005</t>
        </is>
      </c>
      <c r="B8" t="inlineStr">
        <is>
          <t>Jerarquía</t>
        </is>
      </c>
      <c r="C8" t="inlineStr">
        <is>
          <t>Seleccionar topic</t>
        </is>
      </c>
      <c r="D8" t="inlineStr">
        <is>
          <t>Topic con hijos</t>
        </is>
      </c>
      <c r="E8" t="inlineStr">
        <is>
          <t>Enviar topic a Seguimiento</t>
        </is>
      </c>
      <c r="F8" t="inlineStr">
        <is>
          <t>Pregunta si incluir tareas/subtareas</t>
        </is>
      </c>
      <c r="G8" t="inlineStr">
        <is>
          <t>Pendiente</t>
        </is>
      </c>
    </row>
    <row r="9">
      <c r="A9" t="inlineStr">
        <is>
          <t>PT-006</t>
        </is>
      </c>
      <c r="B9" t="inlineStr">
        <is>
          <t>Jerarquía</t>
        </is>
      </c>
      <c r="C9" t="inlineStr">
        <is>
          <t>Seleccionar tarea</t>
        </is>
      </c>
      <c r="D9" t="inlineStr">
        <is>
          <t>Tarea con subtareas</t>
        </is>
      </c>
      <c r="E9" t="inlineStr">
        <is>
          <t>Enviar tarea a Seguimiento</t>
        </is>
      </c>
      <c r="F9" t="inlineStr">
        <is>
          <t>Pregunta si incluir subtareas</t>
        </is>
      </c>
      <c r="G9" t="inlineStr">
        <is>
          <t>Pendiente</t>
        </is>
      </c>
    </row>
    <row r="10">
      <c r="A10" t="inlineStr">
        <is>
          <t>PT-007</t>
        </is>
      </c>
      <c r="B10" t="inlineStr">
        <is>
          <t>Seguimiento</t>
        </is>
      </c>
      <c r="C10" t="inlineStr">
        <is>
          <t>Refresco vistas</t>
        </is>
      </c>
      <c r="D10" t="inlineStr">
        <is>
          <t>Backlog actualizado</t>
        </is>
      </c>
      <c r="E10" t="inlineStr">
        <is>
          <t>Ejecutar RefrescarVistas</t>
        </is>
      </c>
      <c r="F10" t="inlineStr">
        <is>
          <t>Seguimiento refleja filas con Seguimiento=Sí y no completadas</t>
        </is>
      </c>
      <c r="G10" t="inlineStr">
        <is>
          <t>Pendiente</t>
        </is>
      </c>
    </row>
    <row r="11">
      <c r="A11" t="inlineStr">
        <is>
          <t>PT-008</t>
        </is>
      </c>
      <c r="B11" t="inlineStr">
        <is>
          <t>Completadas</t>
        </is>
      </c>
      <c r="C11" t="inlineStr">
        <is>
          <t>Mover a completadas</t>
        </is>
      </c>
      <c r="D11" t="inlineStr">
        <is>
          <t>Fila en seguimiento</t>
        </is>
      </c>
      <c r="E11" t="inlineStr">
        <is>
          <t>Ejecutar MoverACompletadas</t>
        </is>
      </c>
      <c r="F11" t="inlineStr">
        <is>
          <t>Estado=Completada, fecha fin informada y fila en histórico</t>
        </is>
      </c>
      <c r="G11" t="inlineStr">
        <is>
          <t>Pendiente</t>
        </is>
      </c>
    </row>
    <row r="12">
      <c r="A12" t="inlineStr">
        <is>
          <t>PT-009</t>
        </is>
      </c>
      <c r="B12" t="inlineStr">
        <is>
          <t>Creador</t>
        </is>
      </c>
      <c r="C12" t="inlineStr">
        <is>
          <t>Alta individual</t>
        </is>
      </c>
      <c r="D12" t="inlineStr">
        <is>
          <t>Campos mínimos informados</t>
        </is>
      </c>
      <c r="E12" t="inlineStr">
        <is>
          <t>Ejecutar Crear tarea</t>
        </is>
      </c>
      <c r="F12" t="inlineStr">
        <is>
          <t>Nueva fila en Backlog con ID nuevo y Fecha_Alta automática</t>
        </is>
      </c>
      <c r="G12" t="inlineStr">
        <is>
          <t>Pendiente</t>
        </is>
      </c>
    </row>
    <row r="13">
      <c r="A13" t="inlineStr">
        <is>
          <t>PT-010</t>
        </is>
      </c>
      <c r="B13" t="inlineStr">
        <is>
          <t>Creador</t>
        </is>
      </c>
      <c r="C13" t="inlineStr">
        <is>
          <t>Alta masiva CSV</t>
        </is>
      </c>
      <c r="D13" t="inlineStr">
        <is>
          <t>CSV pegado en Creador_Tareas</t>
        </is>
      </c>
      <c r="E13" t="inlineStr">
        <is>
          <t>Ejecutar CrearTareasDesdeCSV</t>
        </is>
      </c>
      <c r="F13" t="inlineStr">
        <is>
          <t>Se insertan todas las tareas válidas; errores quedan reportados</t>
        </is>
      </c>
      <c r="G13" t="inlineStr">
        <is>
          <t>Pendiente</t>
        </is>
      </c>
    </row>
    <row r="14">
      <c r="A14" t="inlineStr">
        <is>
          <t>PT-011</t>
        </is>
      </c>
      <c r="B14" t="inlineStr">
        <is>
          <t>Release</t>
        </is>
      </c>
      <c r="C14" t="inlineStr">
        <is>
          <t>Versiones PRE/PRO</t>
        </is>
      </c>
      <c r="D14" t="inlineStr">
        <is>
          <t>Fila con release</t>
        </is>
      </c>
      <c r="E14" t="inlineStr">
        <is>
          <t>Editar Pre_Version y Pro_Version</t>
        </is>
      </c>
      <c r="F14" t="inlineStr">
        <is>
          <t>Se conserva solo la última versión visible</t>
        </is>
      </c>
      <c r="G14" t="inlineStr">
        <is>
          <t>Pendiente</t>
        </is>
      </c>
    </row>
    <row r="15">
      <c r="A15" t="inlineStr">
        <is>
          <t>PT-012</t>
        </is>
      </c>
      <c r="B15" t="inlineStr">
        <is>
          <t>Histórico</t>
        </is>
      </c>
      <c r="C15" t="inlineStr">
        <is>
          <t>Ventana 30 días</t>
        </is>
      </c>
      <c r="D15" t="inlineStr">
        <is>
          <t>Tarea completada &gt;30 días</t>
        </is>
      </c>
      <c r="E15" t="inlineStr">
        <is>
          <t>Ejecutar limpieza</t>
        </is>
      </c>
      <c r="F15" t="inlineStr">
        <is>
          <t>Sale de Seguimiento y queda en Completadas</t>
        </is>
      </c>
      <c r="G15" t="inlineStr">
        <is>
          <t>Pendiente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Resumen del prompt</t>
        </is>
      </c>
    </row>
    <row r="2"/>
    <row r="3">
      <c r="A3" t="inlineStr">
        <is>
          <t>Ver archivo externo .md para prompt completo. Esta hoja resume:</t>
        </is>
      </c>
    </row>
    <row r="4">
      <c r="A4" t="inlineStr">
        <is>
          <t>1) Backlog como fuente maestra jerárquica.</t>
        </is>
      </c>
    </row>
    <row r="5">
      <c r="A5" t="inlineStr">
        <is>
          <t>2) Seguimiento y Completadas como vistas regeneradas vía VBA.</t>
        </is>
      </c>
    </row>
    <row r="6">
      <c r="A6" t="inlineStr">
        <is>
          <t>3) Creador de tareas individual + CSV.</t>
        </is>
      </c>
    </row>
    <row r="7">
      <c r="A7" t="inlineStr">
        <is>
          <t>4) Validación obligatoria antes de pasar a seguimiento.</t>
        </is>
      </c>
    </row>
    <row r="8">
      <c r="A8" t="inlineStr">
        <is>
          <t>5) Inclusión jerárquica opcional de hijos al seleccionar épica/topic/tarea.</t>
        </is>
      </c>
    </row>
    <row r="9">
      <c r="A9" t="inlineStr">
        <is>
          <t>6) Historial de release/pre/pro y ventana de 30 días para completadas.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2026-03-23T21:06:09Z</dcterms:created>
  <dcterms:modified xmlns:dcterms="http://purl.org/dc/terms/" xmlns:xsi="http://www.w3.org/2001/XMLSchema-instance" xsi:type="dcterms:W3CDTF">2026-03-23T21:06:09Z</dcterms:modified>
</cp:coreProperties>
</file>